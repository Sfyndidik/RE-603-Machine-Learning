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#kulyah\Semester 6\RE-603-Machine-Learning\Minggu 5\"/>
    </mc:Choice>
  </mc:AlternateContent>
  <xr:revisionPtr revIDLastSave="0" documentId="13_ncr:1_{4AA8DD88-D966-4F2B-AC32-488FBADA389E}" xr6:coauthVersionLast="47" xr6:coauthVersionMax="47" xr10:uidLastSave="{00000000-0000-0000-0000-000000000000}"/>
  <bookViews>
    <workbookView xWindow="-110" yWindow="-110" windowWidth="19420" windowHeight="11500" tabRatio="674" xr2:uid="{00000000-000D-0000-FFFF-FFFF00000000}"/>
  </bookViews>
  <sheets>
    <sheet name="Sheet1" sheetId="1" r:id="rId1"/>
    <sheet name="Sheet1 (2)" sheetId="2" r:id="rId2"/>
    <sheet name="Sheet1 (3)" sheetId="3" r:id="rId3"/>
    <sheet name="Sheet1 (4)" sheetId="4" r:id="rId4"/>
    <sheet name="Sheet1 (5)" sheetId="5" r:id="rId5"/>
  </sheets>
  <definedNames>
    <definedName name="_xlnm.Print_Area" localSheetId="0">Sheet1!$A$1:$AS$61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u2JWmfzS08WmRCHUuT9UE0sF0Of3TcSqrLxnMObgYH8="/>
    </ext>
  </extLst>
</workbook>
</file>

<file path=xl/calcChain.xml><?xml version="1.0" encoding="utf-8"?>
<calcChain xmlns="http://schemas.openxmlformats.org/spreadsheetml/2006/main">
  <c r="AG57" i="5" l="1"/>
  <c r="AG56" i="5"/>
  <c r="AG55" i="5"/>
  <c r="AG54" i="5"/>
  <c r="AG53" i="5"/>
  <c r="AG52" i="5"/>
  <c r="AG51" i="5"/>
  <c r="AG50" i="5"/>
  <c r="AG49" i="5"/>
  <c r="AG48" i="5"/>
  <c r="AG47" i="5"/>
  <c r="AG46" i="5"/>
  <c r="AG45" i="5"/>
  <c r="AG44" i="5"/>
  <c r="AG43" i="5"/>
  <c r="AI42" i="5"/>
  <c r="AH42" i="5"/>
  <c r="AG42" i="5"/>
  <c r="AI41" i="5"/>
  <c r="AH41" i="5"/>
  <c r="AG41" i="5"/>
  <c r="AI40" i="5"/>
  <c r="AH40" i="5"/>
  <c r="AG40" i="5"/>
  <c r="AI39" i="5"/>
  <c r="AH39" i="5"/>
  <c r="AG39" i="5"/>
  <c r="AI38" i="5"/>
  <c r="AH38" i="5"/>
  <c r="AG38" i="5"/>
  <c r="T37" i="5"/>
  <c r="L37" i="5"/>
  <c r="T36" i="5"/>
  <c r="L36" i="5"/>
  <c r="T35" i="5"/>
  <c r="L35" i="5"/>
  <c r="T34" i="5"/>
  <c r="L34" i="5"/>
  <c r="T33" i="5"/>
  <c r="L33" i="5"/>
  <c r="T32" i="5"/>
  <c r="L32" i="5"/>
  <c r="AJ31" i="5"/>
  <c r="AI31" i="5"/>
  <c r="AH31" i="5"/>
  <c r="AG31" i="5"/>
  <c r="T31" i="5"/>
  <c r="L31" i="5"/>
  <c r="AJ30" i="5"/>
  <c r="AI30" i="5"/>
  <c r="AH30" i="5"/>
  <c r="AG30" i="5"/>
  <c r="T30" i="5"/>
  <c r="L30" i="5"/>
  <c r="AJ29" i="5"/>
  <c r="AI29" i="5"/>
  <c r="AH29" i="5"/>
  <c r="AG29" i="5"/>
  <c r="T29" i="5"/>
  <c r="L29" i="5"/>
  <c r="AJ28" i="5"/>
  <c r="AI28" i="5"/>
  <c r="AH28" i="5"/>
  <c r="AG28" i="5"/>
  <c r="T28" i="5"/>
  <c r="L28" i="5"/>
  <c r="AJ27" i="5"/>
  <c r="AI27" i="5"/>
  <c r="AH27" i="5"/>
  <c r="AG27" i="5"/>
  <c r="T27" i="5"/>
  <c r="L27" i="5"/>
  <c r="AJ26" i="5"/>
  <c r="AI26" i="5"/>
  <c r="AH26" i="5"/>
  <c r="AG26" i="5"/>
  <c r="T26" i="5"/>
  <c r="L26" i="5"/>
  <c r="AJ25" i="5"/>
  <c r="AI25" i="5"/>
  <c r="AH25" i="5"/>
  <c r="AG25" i="5"/>
  <c r="T25" i="5"/>
  <c r="L25" i="5"/>
  <c r="AJ24" i="5"/>
  <c r="AI24" i="5"/>
  <c r="AH24" i="5"/>
  <c r="AG24" i="5"/>
  <c r="T24" i="5"/>
  <c r="L24" i="5"/>
  <c r="AJ23" i="5"/>
  <c r="AI23" i="5"/>
  <c r="AH23" i="5"/>
  <c r="AG23" i="5"/>
  <c r="T23" i="5"/>
  <c r="L23" i="5"/>
  <c r="AJ22" i="5"/>
  <c r="AI22" i="5"/>
  <c r="AH22" i="5"/>
  <c r="AG22" i="5"/>
  <c r="T22" i="5"/>
  <c r="L22" i="5"/>
  <c r="AJ21" i="5"/>
  <c r="AI21" i="5"/>
  <c r="AH21" i="5"/>
  <c r="AG21" i="5"/>
  <c r="T21" i="5"/>
  <c r="L21" i="5"/>
  <c r="AJ20" i="5"/>
  <c r="AI20" i="5"/>
  <c r="AH20" i="5"/>
  <c r="AG20" i="5"/>
  <c r="T20" i="5"/>
  <c r="L20" i="5"/>
  <c r="AJ19" i="5"/>
  <c r="AI19" i="5"/>
  <c r="AH19" i="5"/>
  <c r="AG19" i="5"/>
  <c r="T19" i="5"/>
  <c r="L19" i="5"/>
  <c r="AJ18" i="5"/>
  <c r="AI18" i="5"/>
  <c r="AH18" i="5"/>
  <c r="AG18" i="5"/>
  <c r="T18" i="5"/>
  <c r="L18" i="5"/>
  <c r="AJ17" i="5"/>
  <c r="AI17" i="5"/>
  <c r="AH17" i="5"/>
  <c r="AG17" i="5"/>
  <c r="AJ16" i="5"/>
  <c r="AI16" i="5"/>
  <c r="AH16" i="5"/>
  <c r="AG16" i="5"/>
  <c r="AJ15" i="5"/>
  <c r="AI15" i="5"/>
  <c r="AH15" i="5"/>
  <c r="AG15" i="5"/>
  <c r="AJ14" i="5"/>
  <c r="AI14" i="5"/>
  <c r="AH14" i="5"/>
  <c r="AG14" i="5"/>
  <c r="AJ13" i="5"/>
  <c r="AI13" i="5"/>
  <c r="AH13" i="5"/>
  <c r="AG13" i="5"/>
  <c r="AJ12" i="5"/>
  <c r="AI12" i="5"/>
  <c r="AH12" i="5"/>
  <c r="AG12" i="5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I42" i="4"/>
  <c r="AH42" i="4"/>
  <c r="AG42" i="4"/>
  <c r="AI41" i="4"/>
  <c r="AH41" i="4"/>
  <c r="AG41" i="4"/>
  <c r="AI40" i="4"/>
  <c r="AH40" i="4"/>
  <c r="AG40" i="4"/>
  <c r="AI39" i="4"/>
  <c r="AH39" i="4"/>
  <c r="AG39" i="4"/>
  <c r="AI38" i="4"/>
  <c r="AH38" i="4"/>
  <c r="AG38" i="4"/>
  <c r="T37" i="4"/>
  <c r="L37" i="4"/>
  <c r="T36" i="4"/>
  <c r="L36" i="4"/>
  <c r="T35" i="4"/>
  <c r="L35" i="4"/>
  <c r="T34" i="4"/>
  <c r="L34" i="4"/>
  <c r="T33" i="4"/>
  <c r="L33" i="4"/>
  <c r="T32" i="4"/>
  <c r="L32" i="4"/>
  <c r="AJ31" i="4"/>
  <c r="AI31" i="4"/>
  <c r="AH31" i="4"/>
  <c r="AG31" i="4"/>
  <c r="T31" i="4"/>
  <c r="L31" i="4"/>
  <c r="AJ30" i="4"/>
  <c r="AI30" i="4"/>
  <c r="AH30" i="4"/>
  <c r="AG30" i="4"/>
  <c r="T30" i="4"/>
  <c r="L30" i="4"/>
  <c r="AJ29" i="4"/>
  <c r="AI29" i="4"/>
  <c r="AH29" i="4"/>
  <c r="AG29" i="4"/>
  <c r="T29" i="4"/>
  <c r="L29" i="4"/>
  <c r="AJ28" i="4"/>
  <c r="AI28" i="4"/>
  <c r="AH28" i="4"/>
  <c r="AG28" i="4"/>
  <c r="T28" i="4"/>
  <c r="L28" i="4"/>
  <c r="AJ27" i="4"/>
  <c r="AI27" i="4"/>
  <c r="AH27" i="4"/>
  <c r="AG27" i="4"/>
  <c r="T27" i="4"/>
  <c r="L27" i="4"/>
  <c r="AJ26" i="4"/>
  <c r="AI26" i="4"/>
  <c r="AH26" i="4"/>
  <c r="AG26" i="4"/>
  <c r="T26" i="4"/>
  <c r="L26" i="4"/>
  <c r="AJ25" i="4"/>
  <c r="AI25" i="4"/>
  <c r="AH25" i="4"/>
  <c r="AG25" i="4"/>
  <c r="T25" i="4"/>
  <c r="L25" i="4"/>
  <c r="AJ24" i="4"/>
  <c r="AI24" i="4"/>
  <c r="AH24" i="4"/>
  <c r="AG24" i="4"/>
  <c r="T24" i="4"/>
  <c r="L24" i="4"/>
  <c r="AJ23" i="4"/>
  <c r="AI23" i="4"/>
  <c r="AH23" i="4"/>
  <c r="AG23" i="4"/>
  <c r="T23" i="4"/>
  <c r="L23" i="4"/>
  <c r="AJ22" i="4"/>
  <c r="AI22" i="4"/>
  <c r="AH22" i="4"/>
  <c r="AG22" i="4"/>
  <c r="T22" i="4"/>
  <c r="L22" i="4"/>
  <c r="AJ21" i="4"/>
  <c r="AI21" i="4"/>
  <c r="AH21" i="4"/>
  <c r="AG21" i="4"/>
  <c r="T21" i="4"/>
  <c r="L21" i="4"/>
  <c r="AJ20" i="4"/>
  <c r="AI20" i="4"/>
  <c r="AH20" i="4"/>
  <c r="AG20" i="4"/>
  <c r="T20" i="4"/>
  <c r="L20" i="4"/>
  <c r="AJ19" i="4"/>
  <c r="AI19" i="4"/>
  <c r="AH19" i="4"/>
  <c r="AG19" i="4"/>
  <c r="T19" i="4"/>
  <c r="L19" i="4"/>
  <c r="AJ18" i="4"/>
  <c r="AI18" i="4"/>
  <c r="AH18" i="4"/>
  <c r="AG18" i="4"/>
  <c r="T18" i="4"/>
  <c r="L18" i="4"/>
  <c r="AJ17" i="4"/>
  <c r="AI17" i="4"/>
  <c r="AH17" i="4"/>
  <c r="AG17" i="4"/>
  <c r="AJ16" i="4"/>
  <c r="AI16" i="4"/>
  <c r="AH16" i="4"/>
  <c r="AG16" i="4"/>
  <c r="AJ15" i="4"/>
  <c r="AI15" i="4"/>
  <c r="AH15" i="4"/>
  <c r="AG15" i="4"/>
  <c r="AJ14" i="4"/>
  <c r="AI14" i="4"/>
  <c r="AH14" i="4"/>
  <c r="AG14" i="4"/>
  <c r="AJ13" i="4"/>
  <c r="AI13" i="4"/>
  <c r="AH13" i="4"/>
  <c r="AG13" i="4"/>
  <c r="AJ12" i="4"/>
  <c r="AI12" i="4"/>
  <c r="AH12" i="4"/>
  <c r="AG12" i="4"/>
  <c r="AG57" i="3"/>
  <c r="AG56" i="3"/>
  <c r="AG55" i="3"/>
  <c r="AG54" i="3"/>
  <c r="AG53" i="3"/>
  <c r="AG52" i="3"/>
  <c r="AG51" i="3"/>
  <c r="AG50" i="3"/>
  <c r="AG49" i="3"/>
  <c r="AG48" i="3"/>
  <c r="AG47" i="3"/>
  <c r="AG46" i="3"/>
  <c r="AG45" i="3"/>
  <c r="AG44" i="3"/>
  <c r="AG43" i="3"/>
  <c r="AI42" i="3"/>
  <c r="AH42" i="3"/>
  <c r="AG42" i="3"/>
  <c r="AI41" i="3"/>
  <c r="AH41" i="3"/>
  <c r="AG41" i="3"/>
  <c r="AI40" i="3"/>
  <c r="AH40" i="3"/>
  <c r="AG40" i="3"/>
  <c r="AI39" i="3"/>
  <c r="AH39" i="3"/>
  <c r="AG39" i="3"/>
  <c r="AI38" i="3"/>
  <c r="AH38" i="3"/>
  <c r="AG38" i="3"/>
  <c r="T37" i="3"/>
  <c r="L37" i="3"/>
  <c r="T36" i="3"/>
  <c r="L36" i="3"/>
  <c r="T35" i="3"/>
  <c r="L35" i="3"/>
  <c r="T34" i="3"/>
  <c r="L34" i="3"/>
  <c r="T33" i="3"/>
  <c r="L33" i="3"/>
  <c r="T32" i="3"/>
  <c r="L32" i="3"/>
  <c r="AJ31" i="3"/>
  <c r="AI31" i="3"/>
  <c r="AH31" i="3"/>
  <c r="AG31" i="3"/>
  <c r="T31" i="3"/>
  <c r="L31" i="3"/>
  <c r="AJ30" i="3"/>
  <c r="AI30" i="3"/>
  <c r="AH30" i="3"/>
  <c r="AG30" i="3"/>
  <c r="T30" i="3"/>
  <c r="L30" i="3"/>
  <c r="AJ29" i="3"/>
  <c r="AI29" i="3"/>
  <c r="AH29" i="3"/>
  <c r="AG29" i="3"/>
  <c r="T29" i="3"/>
  <c r="L29" i="3"/>
  <c r="AJ28" i="3"/>
  <c r="AI28" i="3"/>
  <c r="AH28" i="3"/>
  <c r="AG28" i="3"/>
  <c r="T28" i="3"/>
  <c r="L28" i="3"/>
  <c r="AJ27" i="3"/>
  <c r="AI27" i="3"/>
  <c r="AH27" i="3"/>
  <c r="AG27" i="3"/>
  <c r="T27" i="3"/>
  <c r="L27" i="3"/>
  <c r="AJ26" i="3"/>
  <c r="AI26" i="3"/>
  <c r="AH26" i="3"/>
  <c r="AG26" i="3"/>
  <c r="T26" i="3"/>
  <c r="L26" i="3"/>
  <c r="AJ25" i="3"/>
  <c r="AI25" i="3"/>
  <c r="AH25" i="3"/>
  <c r="AG25" i="3"/>
  <c r="T25" i="3"/>
  <c r="L25" i="3"/>
  <c r="AJ24" i="3"/>
  <c r="AI24" i="3"/>
  <c r="AH24" i="3"/>
  <c r="AG24" i="3"/>
  <c r="T24" i="3"/>
  <c r="L24" i="3"/>
  <c r="AJ23" i="3"/>
  <c r="AI23" i="3"/>
  <c r="AH23" i="3"/>
  <c r="AG23" i="3"/>
  <c r="T23" i="3"/>
  <c r="L23" i="3"/>
  <c r="AJ22" i="3"/>
  <c r="AI22" i="3"/>
  <c r="AH22" i="3"/>
  <c r="AG22" i="3"/>
  <c r="T22" i="3"/>
  <c r="L22" i="3"/>
  <c r="AJ21" i="3"/>
  <c r="AI21" i="3"/>
  <c r="AH21" i="3"/>
  <c r="AG21" i="3"/>
  <c r="T21" i="3"/>
  <c r="L21" i="3"/>
  <c r="AJ20" i="3"/>
  <c r="AI20" i="3"/>
  <c r="AH20" i="3"/>
  <c r="AG20" i="3"/>
  <c r="T20" i="3"/>
  <c r="L20" i="3"/>
  <c r="AJ19" i="3"/>
  <c r="AI19" i="3"/>
  <c r="AH19" i="3"/>
  <c r="AG19" i="3"/>
  <c r="T19" i="3"/>
  <c r="L19" i="3"/>
  <c r="AJ18" i="3"/>
  <c r="AI18" i="3"/>
  <c r="AH18" i="3"/>
  <c r="AG18" i="3"/>
  <c r="T18" i="3"/>
  <c r="L18" i="3"/>
  <c r="AJ17" i="3"/>
  <c r="AI17" i="3"/>
  <c r="AH17" i="3"/>
  <c r="AG17" i="3"/>
  <c r="AJ16" i="3"/>
  <c r="AI16" i="3"/>
  <c r="AH16" i="3"/>
  <c r="AG16" i="3"/>
  <c r="AJ15" i="3"/>
  <c r="AI15" i="3"/>
  <c r="AH15" i="3"/>
  <c r="AG15" i="3"/>
  <c r="AJ14" i="3"/>
  <c r="AI14" i="3"/>
  <c r="AH14" i="3"/>
  <c r="AG14" i="3"/>
  <c r="AJ13" i="3"/>
  <c r="AI13" i="3"/>
  <c r="AH13" i="3"/>
  <c r="AG13" i="3"/>
  <c r="AJ12" i="3"/>
  <c r="AI12" i="3"/>
  <c r="AH12" i="3"/>
  <c r="AG12" i="3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I42" i="2"/>
  <c r="AH42" i="2"/>
  <c r="AG42" i="2"/>
  <c r="AI41" i="2"/>
  <c r="AH41" i="2"/>
  <c r="AG41" i="2"/>
  <c r="AI40" i="2"/>
  <c r="AH40" i="2"/>
  <c r="AG40" i="2"/>
  <c r="AI39" i="2"/>
  <c r="AH39" i="2"/>
  <c r="AG39" i="2"/>
  <c r="AI38" i="2"/>
  <c r="AH38" i="2"/>
  <c r="AG38" i="2"/>
  <c r="T37" i="2"/>
  <c r="L37" i="2"/>
  <c r="T36" i="2"/>
  <c r="L36" i="2"/>
  <c r="T35" i="2"/>
  <c r="L35" i="2"/>
  <c r="T34" i="2"/>
  <c r="L34" i="2"/>
  <c r="T33" i="2"/>
  <c r="L33" i="2"/>
  <c r="T32" i="2"/>
  <c r="L32" i="2"/>
  <c r="AJ31" i="2"/>
  <c r="AI31" i="2"/>
  <c r="AH31" i="2"/>
  <c r="AG31" i="2"/>
  <c r="T31" i="2"/>
  <c r="L31" i="2"/>
  <c r="AJ30" i="2"/>
  <c r="AI30" i="2"/>
  <c r="AH30" i="2"/>
  <c r="AG30" i="2"/>
  <c r="T30" i="2"/>
  <c r="L30" i="2"/>
  <c r="AJ29" i="2"/>
  <c r="AI29" i="2"/>
  <c r="AH29" i="2"/>
  <c r="AG29" i="2"/>
  <c r="T29" i="2"/>
  <c r="L29" i="2"/>
  <c r="AJ28" i="2"/>
  <c r="AI28" i="2"/>
  <c r="AH28" i="2"/>
  <c r="AG28" i="2"/>
  <c r="T28" i="2"/>
  <c r="L28" i="2"/>
  <c r="AJ27" i="2"/>
  <c r="AI27" i="2"/>
  <c r="AH27" i="2"/>
  <c r="AG27" i="2"/>
  <c r="T27" i="2"/>
  <c r="L27" i="2"/>
  <c r="AJ26" i="2"/>
  <c r="AI26" i="2"/>
  <c r="AH26" i="2"/>
  <c r="AG26" i="2"/>
  <c r="T26" i="2"/>
  <c r="L26" i="2"/>
  <c r="AJ25" i="2"/>
  <c r="AI25" i="2"/>
  <c r="AH25" i="2"/>
  <c r="AG25" i="2"/>
  <c r="T25" i="2"/>
  <c r="L25" i="2"/>
  <c r="AJ24" i="2"/>
  <c r="AI24" i="2"/>
  <c r="AH24" i="2"/>
  <c r="AG24" i="2"/>
  <c r="T24" i="2"/>
  <c r="L24" i="2"/>
  <c r="AJ23" i="2"/>
  <c r="AI23" i="2"/>
  <c r="AH23" i="2"/>
  <c r="AG23" i="2"/>
  <c r="T23" i="2"/>
  <c r="L23" i="2"/>
  <c r="AJ22" i="2"/>
  <c r="AI22" i="2"/>
  <c r="AH22" i="2"/>
  <c r="AG22" i="2"/>
  <c r="T22" i="2"/>
  <c r="L22" i="2"/>
  <c r="AJ21" i="2"/>
  <c r="AI21" i="2"/>
  <c r="AH21" i="2"/>
  <c r="AG21" i="2"/>
  <c r="T21" i="2"/>
  <c r="L21" i="2"/>
  <c r="AJ20" i="2"/>
  <c r="AI20" i="2"/>
  <c r="AH20" i="2"/>
  <c r="AG20" i="2"/>
  <c r="T20" i="2"/>
  <c r="L20" i="2"/>
  <c r="AJ19" i="2"/>
  <c r="AI19" i="2"/>
  <c r="AH19" i="2"/>
  <c r="AG19" i="2"/>
  <c r="T19" i="2"/>
  <c r="L19" i="2"/>
  <c r="AJ18" i="2"/>
  <c r="AI18" i="2"/>
  <c r="AH18" i="2"/>
  <c r="AG18" i="2"/>
  <c r="T18" i="2"/>
  <c r="L18" i="2"/>
  <c r="AJ17" i="2"/>
  <c r="AI17" i="2"/>
  <c r="AH17" i="2"/>
  <c r="AG17" i="2"/>
  <c r="AJ16" i="2"/>
  <c r="AI16" i="2"/>
  <c r="AH16" i="2"/>
  <c r="AG16" i="2"/>
  <c r="AJ15" i="2"/>
  <c r="AI15" i="2"/>
  <c r="AH15" i="2"/>
  <c r="AG15" i="2"/>
  <c r="AJ14" i="2"/>
  <c r="AI14" i="2"/>
  <c r="AH14" i="2"/>
  <c r="AG14" i="2"/>
  <c r="AJ13" i="2"/>
  <c r="AI13" i="2"/>
  <c r="AH13" i="2"/>
  <c r="AG13" i="2"/>
  <c r="AJ12" i="2"/>
  <c r="AI12" i="2"/>
  <c r="AH12" i="2"/>
  <c r="AG12" i="2"/>
  <c r="AH39" i="1"/>
  <c r="AI39" i="1"/>
  <c r="AH40" i="1"/>
  <c r="AI40" i="1"/>
  <c r="AH41" i="1"/>
  <c r="AI41" i="1"/>
  <c r="AH42" i="1"/>
  <c r="AI42" i="1"/>
  <c r="AI38" i="1"/>
  <c r="AH38" i="1"/>
  <c r="AG39" i="1"/>
  <c r="AG43" i="1"/>
  <c r="AG44" i="1"/>
  <c r="AG40" i="1"/>
  <c r="AG41" i="1"/>
  <c r="AG45" i="1"/>
  <c r="AG42" i="1"/>
  <c r="AG48" i="1"/>
  <c r="AG49" i="1"/>
  <c r="AG46" i="1"/>
  <c r="AG50" i="1"/>
  <c r="AG47" i="1"/>
  <c r="AG52" i="1"/>
  <c r="AG51" i="1"/>
  <c r="AG53" i="1"/>
  <c r="AG55" i="1"/>
  <c r="AG54" i="1"/>
  <c r="AG56" i="1"/>
  <c r="AG57" i="1"/>
  <c r="AG38" i="1"/>
  <c r="AG12" i="1"/>
  <c r="T18" i="1"/>
  <c r="T20" i="1"/>
  <c r="T23" i="1"/>
  <c r="T21" i="1"/>
  <c r="T24" i="1"/>
  <c r="T22" i="1"/>
  <c r="T25" i="1"/>
  <c r="T28" i="1"/>
  <c r="T29" i="1"/>
  <c r="T26" i="1"/>
  <c r="T27" i="1"/>
  <c r="T30" i="1"/>
  <c r="T31" i="1"/>
  <c r="T33" i="1"/>
  <c r="T32" i="1"/>
  <c r="T34" i="1"/>
  <c r="T35" i="1"/>
  <c r="T36" i="1"/>
  <c r="T37" i="1"/>
  <c r="T19" i="1"/>
  <c r="L34" i="1"/>
  <c r="L31" i="1"/>
  <c r="L26" i="1"/>
  <c r="L20" i="1"/>
  <c r="L19" i="1"/>
  <c r="L18" i="1"/>
  <c r="L21" i="1"/>
  <c r="L23" i="1"/>
  <c r="L28" i="1"/>
  <c r="L33" i="1"/>
  <c r="L29" i="1"/>
  <c r="L27" i="1"/>
  <c r="L22" i="1"/>
  <c r="L25" i="1"/>
  <c r="L24" i="1"/>
  <c r="L30" i="1"/>
  <c r="L32" i="1"/>
  <c r="L35" i="1"/>
  <c r="L37" i="1"/>
  <c r="L36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</calcChain>
</file>

<file path=xl/sharedStrings.xml><?xml version="1.0" encoding="utf-8"?>
<sst xmlns="http://schemas.openxmlformats.org/spreadsheetml/2006/main" count="747" uniqueCount="35">
  <si>
    <t>Cara Kerja KNN</t>
  </si>
  <si>
    <t>1. Persiapan Data</t>
  </si>
  <si>
    <t>ID</t>
  </si>
  <si>
    <t>X1</t>
  </si>
  <si>
    <t>X2</t>
  </si>
  <si>
    <t>Y</t>
  </si>
  <si>
    <t xml:space="preserve">Titik baru </t>
  </si>
  <si>
    <t>A</t>
  </si>
  <si>
    <t>X2 = 5</t>
  </si>
  <si>
    <t>B</t>
  </si>
  <si>
    <t>2. Pengukuran Jarak</t>
  </si>
  <si>
    <t>4. Visualisasi Persebaran Data (BEFORE)</t>
  </si>
  <si>
    <t># Urutkan data berdasarkan jarak dari yang terkecil</t>
  </si>
  <si>
    <t>?</t>
  </si>
  <si>
    <t>Visualisasi Persebaran Data Setelah Menggunakan Model KNN (AFTER)</t>
  </si>
  <si>
    <t>X1 = 6</t>
  </si>
  <si>
    <t>Jarak dari (6,5)</t>
  </si>
  <si>
    <t>Menggunakan jarak euclidean, untuk menghitung jarak antara titik baru (X1 = 6, X2 = 5) dari setiap titik data.</t>
  </si>
  <si>
    <t>3 - 6 Pemilihan Jumlah Tetangga (K = 5) dan identifikasi tetangga terdekat</t>
  </si>
  <si>
    <t># Tentukan 5 tetangga terdekat</t>
  </si>
  <si>
    <t>ID 6 = Jarak 2 = Kelas B</t>
  </si>
  <si>
    <t>X1_A</t>
  </si>
  <si>
    <t>X2_A</t>
  </si>
  <si>
    <t>X1_B</t>
  </si>
  <si>
    <t>X2_B</t>
  </si>
  <si>
    <t>X1_KKN</t>
  </si>
  <si>
    <t>X2_KKN</t>
  </si>
  <si>
    <t>ID 7 = Jarak 1.414213562 = Kelas A</t>
  </si>
  <si>
    <t>ID 5 = Jarak 2.236067977 = Kelas B</t>
  </si>
  <si>
    <t>ID 8 = Jarak 2.236067977 = Kelas A</t>
  </si>
  <si>
    <t>ID 14 = Jarak 2.828427125 = Kelas A</t>
  </si>
  <si>
    <t>Mayoritas adalah A (3 suara A, 2 suara B)</t>
  </si>
  <si>
    <r>
      <t>Maka titik baru (X1 = 6, X2 = 5) akan diklasifikasikan ke kelas A berdasarkan algoritma</t>
    </r>
    <r>
      <rPr>
        <b/>
        <sz val="11"/>
        <color theme="1"/>
        <rFont val="Calibri"/>
      </rPr>
      <t xml:space="preserve"> KNN </t>
    </r>
    <r>
      <rPr>
        <sz val="11"/>
        <color theme="1"/>
        <rFont val="Calibri"/>
      </rPr>
      <t xml:space="preserve">dengan </t>
    </r>
    <r>
      <rPr>
        <b/>
        <sz val="11"/>
        <color theme="1"/>
        <rFont val="Calibri"/>
      </rPr>
      <t>K = 5</t>
    </r>
  </si>
  <si>
    <t>((ABS(I18-6)^2)+ABS((J18-5)^2))^(1/2)</t>
  </si>
  <si>
    <t>Nama : Sofyan Didik Asmara                                             Nim : 4222311027                                                                    Kelas : Robotika Malam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</si>
</sst>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rgb="FF002060"/>
      <name val="Calibri"/>
    </font>
    <font>
      <b/>
      <sz val="11"/>
      <color theme="1"/>
      <name val="Calibri"/>
    </font>
    <font>
      <b/>
      <sz val="11"/>
      <color rgb="FFFF0000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theme="1"/>
      <name val="Calibri"/>
      <scheme val="minor"/>
    </font>
    <font>
      <sz val="11"/>
      <color rgb="FFC00000"/>
      <name val="Calibri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dobe Heiti Std R"/>
      <family val="2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0" xfId="0" quotePrefix="1"/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0" xfId="0" applyFont="1"/>
    <xf numFmtId="0" fontId="2" fillId="0" borderId="0" xfId="0" applyFont="1"/>
    <xf numFmtId="0" fontId="3" fillId="0" borderId="0" xfId="0" applyFont="1"/>
    <xf numFmtId="0" fontId="10" fillId="0" borderId="0" xfId="0" applyFont="1" applyAlignment="1">
      <alignment wrapText="1"/>
    </xf>
    <xf numFmtId="0" fontId="10" fillId="0" borderId="2" xfId="0" applyFont="1" applyBorder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3" xfId="0" applyBorder="1"/>
    <xf numFmtId="0" fontId="14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0" fillId="0" borderId="0" xfId="0"/>
    <xf numFmtId="0" fontId="0" fillId="0" borderId="0" xfId="0" applyAlignment="1">
      <alignment horizontal="left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 wrapText="1"/>
    </xf>
    <xf numFmtId="0" fontId="10" fillId="0" borderId="0" xfId="0" applyFont="1" applyAlignment="1">
      <alignment horizontal="left" vertical="top" wrapText="1"/>
    </xf>
    <xf numFmtId="0" fontId="1" fillId="0" borderId="0" xfId="0" applyFont="1"/>
    <xf numFmtId="0" fontId="0" fillId="0" borderId="0" xfId="0" applyBorder="1"/>
    <xf numFmtId="0" fontId="15" fillId="0" borderId="5" xfId="0" quotePrefix="1" applyFont="1" applyBorder="1" applyAlignment="1">
      <alignment horizontal="center" vertical="center"/>
    </xf>
    <xf numFmtId="0" fontId="15" fillId="0" borderId="6" xfId="0" quotePrefix="1" applyFont="1" applyBorder="1" applyAlignment="1">
      <alignment horizontal="center" vertical="center"/>
    </xf>
    <xf numFmtId="0" fontId="15" fillId="0" borderId="7" xfId="0" quotePrefix="1" applyFont="1" applyBorder="1" applyAlignment="1">
      <alignment horizontal="center" vertical="center"/>
    </xf>
    <xf numFmtId="0" fontId="15" fillId="0" borderId="8" xfId="0" quotePrefix="1" applyFont="1" applyBorder="1" applyAlignment="1">
      <alignment horizontal="center" vertical="center"/>
    </xf>
    <xf numFmtId="0" fontId="15" fillId="0" borderId="9" xfId="0" quotePrefix="1" applyFont="1" applyBorder="1" applyAlignment="1">
      <alignment horizontal="center" vertical="center"/>
    </xf>
    <xf numFmtId="0" fontId="15" fillId="0" borderId="10" xfId="0" quotePrefix="1" applyFont="1" applyBorder="1" applyAlignment="1">
      <alignment horizontal="center" vertical="center"/>
    </xf>
    <xf numFmtId="0" fontId="16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Before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666666666666666"/>
          <c:w val="0.73292804024496938"/>
          <c:h val="0.72593394575678039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Sheet1!$AG$12:$AG$31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2">
                  <c:v>3</c:v>
                </c:pt>
                <c:pt idx="13">
                  <c:v>4</c:v>
                </c:pt>
                <c:pt idx="16">
                  <c:v>7</c:v>
                </c:pt>
                <c:pt idx="17">
                  <c:v>8</c:v>
                </c:pt>
                <c:pt idx="19">
                  <c:v>10</c:v>
                </c:pt>
              </c:strCache>
            </c:strRef>
          </c:xVal>
          <c:yVal>
            <c:numRef>
              <c:f>Sheet1!$AH$12:$AH$31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51-40F2-9578-DED1B8D9C007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Sheet1!$AI$12:$AI$31</c:f>
              <c:strCache>
                <c:ptCount val="19"/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8">
                  <c:v>9</c:v>
                </c:pt>
                <c:pt idx="10">
                  <c:v>1</c:v>
                </c:pt>
                <c:pt idx="11">
                  <c:v>2</c:v>
                </c:pt>
                <c:pt idx="14">
                  <c:v>5</c:v>
                </c:pt>
                <c:pt idx="15">
                  <c:v>6</c:v>
                </c:pt>
                <c:pt idx="18">
                  <c:v>9</c:v>
                </c:pt>
              </c:strCache>
            </c:strRef>
          </c:xVal>
          <c:yVal>
            <c:numRef>
              <c:f>Sheet1!$AJ$12:$AJ$31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51-40F2-9578-DED1B8D9C007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Sheet1!$AK$12:$AK$31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xVal>
          <c:yVal>
            <c:numRef>
              <c:f>Sheet1!$AL$12:$AL$31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51-40F2-9578-DED1B8D9C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76800"/>
        <c:axId val="1198477280"/>
      </c:scatterChart>
      <c:valAx>
        <c:axId val="119847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7280"/>
        <c:crosses val="autoZero"/>
        <c:crossBetween val="midCat"/>
      </c:valAx>
      <c:valAx>
        <c:axId val="11984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After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666666666666666"/>
          <c:w val="0.73292804024496938"/>
          <c:h val="0.72593394575678039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Sheet1!$AG$12:$AG$31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2">
                  <c:v>3</c:v>
                </c:pt>
                <c:pt idx="13">
                  <c:v>4</c:v>
                </c:pt>
                <c:pt idx="16">
                  <c:v>7</c:v>
                </c:pt>
                <c:pt idx="17">
                  <c:v>8</c:v>
                </c:pt>
                <c:pt idx="19">
                  <c:v>10</c:v>
                </c:pt>
              </c:strCache>
            </c:strRef>
          </c:xVal>
          <c:yVal>
            <c:numRef>
              <c:f>Sheet1!$AH$12:$AH$31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D-40D6-B461-F75CC1813014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Sheet1!$AI$12:$AI$31</c:f>
              <c:strCache>
                <c:ptCount val="19"/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8">
                  <c:v>9</c:v>
                </c:pt>
                <c:pt idx="10">
                  <c:v>1</c:v>
                </c:pt>
                <c:pt idx="11">
                  <c:v>2</c:v>
                </c:pt>
                <c:pt idx="14">
                  <c:v>5</c:v>
                </c:pt>
                <c:pt idx="15">
                  <c:v>6</c:v>
                </c:pt>
                <c:pt idx="18">
                  <c:v>9</c:v>
                </c:pt>
              </c:strCache>
            </c:strRef>
          </c:xVal>
          <c:yVal>
            <c:numRef>
              <c:f>Sheet1!$AJ$12:$AJ$31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9D-40D6-B461-F75CC1813014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Sheet1!$AK$12:$AK$31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xVal>
          <c:yVal>
            <c:numRef>
              <c:f>Sheet1!$AL$12:$AL$31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9D-40D6-B461-F75CC1813014}"/>
            </c:ext>
          </c:extLst>
        </c:ser>
        <c:ser>
          <c:idx val="3"/>
          <c:order val="3"/>
          <c:tx>
            <c:v>Tetangga KKN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Sheet1!$AH$38:$AH$42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</c:numCache>
            </c:numRef>
          </c:xVal>
          <c:yVal>
            <c:numRef>
              <c:f>Sheet1!$AI$38:$AI$42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7</c:v>
                </c:pt>
                <c:pt idx="3">
                  <c:v>8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9D-40D6-B461-F75CC1813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76800"/>
        <c:axId val="1198477280"/>
      </c:scatterChart>
      <c:valAx>
        <c:axId val="119847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7280"/>
        <c:crosses val="autoZero"/>
        <c:crossBetween val="midCat"/>
      </c:valAx>
      <c:valAx>
        <c:axId val="11984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Before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666666666666666"/>
          <c:w val="0.73292804024496938"/>
          <c:h val="0.72593394575678039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'Sheet1 (2)'!$AG$12:$AG$31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2">
                  <c:v>3</c:v>
                </c:pt>
                <c:pt idx="13">
                  <c:v>4</c:v>
                </c:pt>
                <c:pt idx="16">
                  <c:v>7</c:v>
                </c:pt>
                <c:pt idx="17">
                  <c:v>8</c:v>
                </c:pt>
                <c:pt idx="19">
                  <c:v>10</c:v>
                </c:pt>
              </c:strCache>
            </c:strRef>
          </c:xVal>
          <c:yVal>
            <c:numRef>
              <c:f>'Sheet1 (2)'!$AH$12:$AH$31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01-4961-8301-BED169818CB5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'Sheet1 (2)'!$AI$12:$AI$31</c:f>
              <c:strCache>
                <c:ptCount val="19"/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8">
                  <c:v>9</c:v>
                </c:pt>
                <c:pt idx="10">
                  <c:v>1</c:v>
                </c:pt>
                <c:pt idx="11">
                  <c:v>2</c:v>
                </c:pt>
                <c:pt idx="14">
                  <c:v>5</c:v>
                </c:pt>
                <c:pt idx="15">
                  <c:v>6</c:v>
                </c:pt>
                <c:pt idx="18">
                  <c:v>9</c:v>
                </c:pt>
              </c:strCache>
            </c:strRef>
          </c:xVal>
          <c:yVal>
            <c:numRef>
              <c:f>'Sheet1 (2)'!$AJ$12:$AJ$31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01-4961-8301-BED169818CB5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'Sheet1 (2)'!$AK$12:$AK$31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xVal>
          <c:yVal>
            <c:numRef>
              <c:f>'Sheet1 (2)'!$AL$12:$AL$31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01-4961-8301-BED169818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76800"/>
        <c:axId val="1198477280"/>
      </c:scatterChart>
      <c:valAx>
        <c:axId val="119847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7280"/>
        <c:crosses val="autoZero"/>
        <c:crossBetween val="midCat"/>
      </c:valAx>
      <c:valAx>
        <c:axId val="11984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After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666666666666666"/>
          <c:w val="0.73292804024496938"/>
          <c:h val="0.72593394575678039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'Sheet1 (2)'!$AG$12:$AG$31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2">
                  <c:v>3</c:v>
                </c:pt>
                <c:pt idx="13">
                  <c:v>4</c:v>
                </c:pt>
                <c:pt idx="16">
                  <c:v>7</c:v>
                </c:pt>
                <c:pt idx="17">
                  <c:v>8</c:v>
                </c:pt>
                <c:pt idx="19">
                  <c:v>10</c:v>
                </c:pt>
              </c:strCache>
            </c:strRef>
          </c:xVal>
          <c:yVal>
            <c:numRef>
              <c:f>'Sheet1 (2)'!$AH$12:$AH$31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AA-44DF-9889-A0A4D40B76FC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'Sheet1 (2)'!$AI$12:$AI$31</c:f>
              <c:strCache>
                <c:ptCount val="19"/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8">
                  <c:v>9</c:v>
                </c:pt>
                <c:pt idx="10">
                  <c:v>1</c:v>
                </c:pt>
                <c:pt idx="11">
                  <c:v>2</c:v>
                </c:pt>
                <c:pt idx="14">
                  <c:v>5</c:v>
                </c:pt>
                <c:pt idx="15">
                  <c:v>6</c:v>
                </c:pt>
                <c:pt idx="18">
                  <c:v>9</c:v>
                </c:pt>
              </c:strCache>
            </c:strRef>
          </c:xVal>
          <c:yVal>
            <c:numRef>
              <c:f>'Sheet1 (2)'!$AJ$12:$AJ$31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AA-44DF-9889-A0A4D40B76FC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'Sheet1 (2)'!$AK$12:$AK$31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xVal>
          <c:yVal>
            <c:numRef>
              <c:f>'Sheet1 (2)'!$AL$12:$AL$31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AA-44DF-9889-A0A4D40B76FC}"/>
            </c:ext>
          </c:extLst>
        </c:ser>
        <c:ser>
          <c:idx val="3"/>
          <c:order val="3"/>
          <c:tx>
            <c:v>Tetangga KKN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'Sheet1 (2)'!$AH$38:$AH$42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</c:numCache>
            </c:numRef>
          </c:xVal>
          <c:yVal>
            <c:numRef>
              <c:f>'Sheet1 (2)'!$AI$38:$AI$42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7</c:v>
                </c:pt>
                <c:pt idx="3">
                  <c:v>8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AA-44DF-9889-A0A4D40B7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76800"/>
        <c:axId val="1198477280"/>
      </c:scatterChart>
      <c:valAx>
        <c:axId val="119847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7280"/>
        <c:crosses val="autoZero"/>
        <c:crossBetween val="midCat"/>
      </c:valAx>
      <c:valAx>
        <c:axId val="11984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Before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666666666666666"/>
          <c:w val="0.73292804024496938"/>
          <c:h val="0.72593394575678039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'Sheet1 (3)'!$AG$12:$AG$31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2">
                  <c:v>3</c:v>
                </c:pt>
                <c:pt idx="13">
                  <c:v>4</c:v>
                </c:pt>
                <c:pt idx="16">
                  <c:v>7</c:v>
                </c:pt>
                <c:pt idx="17">
                  <c:v>8</c:v>
                </c:pt>
                <c:pt idx="19">
                  <c:v>10</c:v>
                </c:pt>
              </c:strCache>
            </c:strRef>
          </c:xVal>
          <c:yVal>
            <c:numRef>
              <c:f>'Sheet1 (3)'!$AH$12:$AH$31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88-4CD9-9EBA-1698090FD011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'Sheet1 (3)'!$AI$12:$AI$31</c:f>
              <c:strCache>
                <c:ptCount val="19"/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8">
                  <c:v>9</c:v>
                </c:pt>
                <c:pt idx="10">
                  <c:v>1</c:v>
                </c:pt>
                <c:pt idx="11">
                  <c:v>2</c:v>
                </c:pt>
                <c:pt idx="14">
                  <c:v>5</c:v>
                </c:pt>
                <c:pt idx="15">
                  <c:v>6</c:v>
                </c:pt>
                <c:pt idx="18">
                  <c:v>9</c:v>
                </c:pt>
              </c:strCache>
            </c:strRef>
          </c:xVal>
          <c:yVal>
            <c:numRef>
              <c:f>'Sheet1 (3)'!$AJ$12:$AJ$31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88-4CD9-9EBA-1698090FD011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'Sheet1 (3)'!$AK$12:$AK$31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xVal>
          <c:yVal>
            <c:numRef>
              <c:f>'Sheet1 (3)'!$AL$12:$AL$31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88-4CD9-9EBA-1698090FD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76800"/>
        <c:axId val="1198477280"/>
      </c:scatterChart>
      <c:valAx>
        <c:axId val="119847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7280"/>
        <c:crosses val="autoZero"/>
        <c:crossBetween val="midCat"/>
      </c:valAx>
      <c:valAx>
        <c:axId val="11984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After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666666666666666"/>
          <c:w val="0.73292804024496938"/>
          <c:h val="0.72593394575678039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'Sheet1 (3)'!$AG$12:$AG$31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2">
                  <c:v>3</c:v>
                </c:pt>
                <c:pt idx="13">
                  <c:v>4</c:v>
                </c:pt>
                <c:pt idx="16">
                  <c:v>7</c:v>
                </c:pt>
                <c:pt idx="17">
                  <c:v>8</c:v>
                </c:pt>
                <c:pt idx="19">
                  <c:v>10</c:v>
                </c:pt>
              </c:strCache>
            </c:strRef>
          </c:xVal>
          <c:yVal>
            <c:numRef>
              <c:f>'Sheet1 (3)'!$AH$12:$AH$31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F4-4826-8EB0-C9D53688BFA2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'Sheet1 (3)'!$AI$12:$AI$31</c:f>
              <c:strCache>
                <c:ptCount val="19"/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8">
                  <c:v>9</c:v>
                </c:pt>
                <c:pt idx="10">
                  <c:v>1</c:v>
                </c:pt>
                <c:pt idx="11">
                  <c:v>2</c:v>
                </c:pt>
                <c:pt idx="14">
                  <c:v>5</c:v>
                </c:pt>
                <c:pt idx="15">
                  <c:v>6</c:v>
                </c:pt>
                <c:pt idx="18">
                  <c:v>9</c:v>
                </c:pt>
              </c:strCache>
            </c:strRef>
          </c:xVal>
          <c:yVal>
            <c:numRef>
              <c:f>'Sheet1 (3)'!$AJ$12:$AJ$31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F4-4826-8EB0-C9D53688BFA2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'Sheet1 (3)'!$AK$12:$AK$31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xVal>
          <c:yVal>
            <c:numRef>
              <c:f>'Sheet1 (3)'!$AL$12:$AL$31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F4-4826-8EB0-C9D53688BFA2}"/>
            </c:ext>
          </c:extLst>
        </c:ser>
        <c:ser>
          <c:idx val="3"/>
          <c:order val="3"/>
          <c:tx>
            <c:v>Tetangga KKN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'Sheet1 (3)'!$AH$38:$AH$42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</c:numCache>
            </c:numRef>
          </c:xVal>
          <c:yVal>
            <c:numRef>
              <c:f>'Sheet1 (3)'!$AI$38:$AI$42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7</c:v>
                </c:pt>
                <c:pt idx="3">
                  <c:v>8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AF4-4826-8EB0-C9D53688B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76800"/>
        <c:axId val="1198477280"/>
      </c:scatterChart>
      <c:valAx>
        <c:axId val="119847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7280"/>
        <c:crosses val="autoZero"/>
        <c:crossBetween val="midCat"/>
      </c:valAx>
      <c:valAx>
        <c:axId val="11984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Before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666666666666666"/>
          <c:w val="0.73292804024496938"/>
          <c:h val="0.72593394575678039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'Sheet1 (4)'!$AG$12:$AG$31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2">
                  <c:v>3</c:v>
                </c:pt>
                <c:pt idx="13">
                  <c:v>4</c:v>
                </c:pt>
                <c:pt idx="16">
                  <c:v>7</c:v>
                </c:pt>
                <c:pt idx="17">
                  <c:v>8</c:v>
                </c:pt>
                <c:pt idx="19">
                  <c:v>10</c:v>
                </c:pt>
              </c:strCache>
            </c:strRef>
          </c:xVal>
          <c:yVal>
            <c:numRef>
              <c:f>'Sheet1 (4)'!$AH$12:$AH$31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36-4295-90E7-C34D5A946DC6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'Sheet1 (4)'!$AI$12:$AI$31</c:f>
              <c:strCache>
                <c:ptCount val="19"/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8">
                  <c:v>9</c:v>
                </c:pt>
                <c:pt idx="10">
                  <c:v>1</c:v>
                </c:pt>
                <c:pt idx="11">
                  <c:v>2</c:v>
                </c:pt>
                <c:pt idx="14">
                  <c:v>5</c:v>
                </c:pt>
                <c:pt idx="15">
                  <c:v>6</c:v>
                </c:pt>
                <c:pt idx="18">
                  <c:v>9</c:v>
                </c:pt>
              </c:strCache>
            </c:strRef>
          </c:xVal>
          <c:yVal>
            <c:numRef>
              <c:f>'Sheet1 (4)'!$AJ$12:$AJ$31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36-4295-90E7-C34D5A946DC6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'Sheet1 (4)'!$AK$12:$AK$31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xVal>
          <c:yVal>
            <c:numRef>
              <c:f>'Sheet1 (4)'!$AL$12:$AL$31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36-4295-90E7-C34D5A946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76800"/>
        <c:axId val="1198477280"/>
      </c:scatterChart>
      <c:valAx>
        <c:axId val="119847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7280"/>
        <c:crosses val="autoZero"/>
        <c:crossBetween val="midCat"/>
      </c:valAx>
      <c:valAx>
        <c:axId val="11984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After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666666666666666"/>
          <c:w val="0.73292804024496938"/>
          <c:h val="0.72593394575678039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'Sheet1 (4)'!$AG$12:$AG$31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2">
                  <c:v>3</c:v>
                </c:pt>
                <c:pt idx="13">
                  <c:v>4</c:v>
                </c:pt>
                <c:pt idx="16">
                  <c:v>7</c:v>
                </c:pt>
                <c:pt idx="17">
                  <c:v>8</c:v>
                </c:pt>
                <c:pt idx="19">
                  <c:v>10</c:v>
                </c:pt>
              </c:strCache>
            </c:strRef>
          </c:xVal>
          <c:yVal>
            <c:numRef>
              <c:f>'Sheet1 (4)'!$AH$12:$AH$31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D5-4E99-A6C3-007A5A26C2F9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'Sheet1 (4)'!$AI$12:$AI$31</c:f>
              <c:strCache>
                <c:ptCount val="19"/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8">
                  <c:v>9</c:v>
                </c:pt>
                <c:pt idx="10">
                  <c:v>1</c:v>
                </c:pt>
                <c:pt idx="11">
                  <c:v>2</c:v>
                </c:pt>
                <c:pt idx="14">
                  <c:v>5</c:v>
                </c:pt>
                <c:pt idx="15">
                  <c:v>6</c:v>
                </c:pt>
                <c:pt idx="18">
                  <c:v>9</c:v>
                </c:pt>
              </c:strCache>
            </c:strRef>
          </c:xVal>
          <c:yVal>
            <c:numRef>
              <c:f>'Sheet1 (4)'!$AJ$12:$AJ$31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D5-4E99-A6C3-007A5A26C2F9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'Sheet1 (4)'!$AK$12:$AK$31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xVal>
          <c:yVal>
            <c:numRef>
              <c:f>'Sheet1 (4)'!$AL$12:$AL$31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D5-4E99-A6C3-007A5A26C2F9}"/>
            </c:ext>
          </c:extLst>
        </c:ser>
        <c:ser>
          <c:idx val="3"/>
          <c:order val="3"/>
          <c:tx>
            <c:v>Tetangga KKN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'Sheet1 (4)'!$AH$38:$AH$42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</c:numCache>
            </c:numRef>
          </c:xVal>
          <c:yVal>
            <c:numRef>
              <c:f>'Sheet1 (4)'!$AI$38:$AI$42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7</c:v>
                </c:pt>
                <c:pt idx="3">
                  <c:v>8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D5-4E99-A6C3-007A5A26C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76800"/>
        <c:axId val="1198477280"/>
      </c:scatterChart>
      <c:valAx>
        <c:axId val="119847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7280"/>
        <c:crosses val="autoZero"/>
        <c:crossBetween val="midCat"/>
      </c:valAx>
      <c:valAx>
        <c:axId val="11984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Before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666666666666666"/>
          <c:w val="0.73292804024496938"/>
          <c:h val="0.72593394575678039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'Sheet1 (5)'!$AG$12:$AG$31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2">
                  <c:v>3</c:v>
                </c:pt>
                <c:pt idx="13">
                  <c:v>4</c:v>
                </c:pt>
                <c:pt idx="16">
                  <c:v>7</c:v>
                </c:pt>
                <c:pt idx="17">
                  <c:v>8</c:v>
                </c:pt>
                <c:pt idx="19">
                  <c:v>10</c:v>
                </c:pt>
              </c:strCache>
            </c:strRef>
          </c:xVal>
          <c:yVal>
            <c:numRef>
              <c:f>'Sheet1 (5)'!$AH$12:$AH$31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2D-4415-923B-1C5AF569126E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'Sheet1 (5)'!$AI$12:$AI$31</c:f>
              <c:strCache>
                <c:ptCount val="19"/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8">
                  <c:v>9</c:v>
                </c:pt>
                <c:pt idx="10">
                  <c:v>1</c:v>
                </c:pt>
                <c:pt idx="11">
                  <c:v>2</c:v>
                </c:pt>
                <c:pt idx="14">
                  <c:v>5</c:v>
                </c:pt>
                <c:pt idx="15">
                  <c:v>6</c:v>
                </c:pt>
                <c:pt idx="18">
                  <c:v>9</c:v>
                </c:pt>
              </c:strCache>
            </c:strRef>
          </c:xVal>
          <c:yVal>
            <c:numRef>
              <c:f>'Sheet1 (5)'!$AJ$12:$AJ$31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2D-4415-923B-1C5AF569126E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'Sheet1 (5)'!$AK$12:$AK$31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xVal>
          <c:yVal>
            <c:numRef>
              <c:f>'Sheet1 (5)'!$AL$12:$AL$31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2D-4415-923B-1C5AF5691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76800"/>
        <c:axId val="1198477280"/>
      </c:scatterChart>
      <c:valAx>
        <c:axId val="119847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7280"/>
        <c:crosses val="autoZero"/>
        <c:crossBetween val="midCat"/>
      </c:valAx>
      <c:valAx>
        <c:axId val="11984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After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666666666666666"/>
          <c:w val="0.73292804024496938"/>
          <c:h val="0.72593394575678039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'Sheet1 (5)'!$AG$12:$AG$31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2">
                  <c:v>3</c:v>
                </c:pt>
                <c:pt idx="13">
                  <c:v>4</c:v>
                </c:pt>
                <c:pt idx="16">
                  <c:v>7</c:v>
                </c:pt>
                <c:pt idx="17">
                  <c:v>8</c:v>
                </c:pt>
                <c:pt idx="19">
                  <c:v>10</c:v>
                </c:pt>
              </c:strCache>
            </c:strRef>
          </c:xVal>
          <c:yVal>
            <c:numRef>
              <c:f>'Sheet1 (5)'!$AH$12:$AH$31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7E-48E0-9D27-8559DD2F6098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'Sheet1 (5)'!$AI$12:$AI$31</c:f>
              <c:strCache>
                <c:ptCount val="19"/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8">
                  <c:v>9</c:v>
                </c:pt>
                <c:pt idx="10">
                  <c:v>1</c:v>
                </c:pt>
                <c:pt idx="11">
                  <c:v>2</c:v>
                </c:pt>
                <c:pt idx="14">
                  <c:v>5</c:v>
                </c:pt>
                <c:pt idx="15">
                  <c:v>6</c:v>
                </c:pt>
                <c:pt idx="18">
                  <c:v>9</c:v>
                </c:pt>
              </c:strCache>
            </c:strRef>
          </c:xVal>
          <c:yVal>
            <c:numRef>
              <c:f>'Sheet1 (5)'!$AJ$12:$AJ$31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7E-48E0-9D27-8559DD2F6098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'Sheet1 (5)'!$AK$12:$AK$31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xVal>
          <c:yVal>
            <c:numRef>
              <c:f>'Sheet1 (5)'!$AL$12:$AL$31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7E-48E0-9D27-8559DD2F6098}"/>
            </c:ext>
          </c:extLst>
        </c:ser>
        <c:ser>
          <c:idx val="3"/>
          <c:order val="3"/>
          <c:tx>
            <c:v>Tetangga KKN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'Sheet1 (5)'!$AH$38:$AH$42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</c:numCache>
            </c:numRef>
          </c:xVal>
          <c:yVal>
            <c:numRef>
              <c:f>'Sheet1 (5)'!$AI$38:$AI$42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7</c:v>
                </c:pt>
                <c:pt idx="3">
                  <c:v>8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7E-48E0-9D27-8559DD2F6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76800"/>
        <c:axId val="1198477280"/>
      </c:scatterChart>
      <c:valAx>
        <c:axId val="119847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7280"/>
        <c:crosses val="autoZero"/>
        <c:crossBetween val="midCat"/>
      </c:valAx>
      <c:valAx>
        <c:axId val="11984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117475</xdr:colOff>
      <xdr:row>11</xdr:row>
      <xdr:rowOff>12700</xdr:rowOff>
    </xdr:from>
    <xdr:to>
      <xdr:col>44</xdr:col>
      <xdr:colOff>231775</xdr:colOff>
      <xdr:row>25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58AFEB4-D0DD-0FAB-B659-AEF8B3072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539750</xdr:colOff>
      <xdr:row>39</xdr:row>
      <xdr:rowOff>31750</xdr:rowOff>
    </xdr:from>
    <xdr:to>
      <xdr:col>42</xdr:col>
      <xdr:colOff>533400</xdr:colOff>
      <xdr:row>53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893C6B-7B4A-4037-8C3A-9AC1AA41A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38101</xdr:colOff>
      <xdr:row>44</xdr:row>
      <xdr:rowOff>6350</xdr:rowOff>
    </xdr:from>
    <xdr:to>
      <xdr:col>37</xdr:col>
      <xdr:colOff>298451</xdr:colOff>
      <xdr:row>46</xdr:row>
      <xdr:rowOff>171450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3F69F5B-1EE4-7880-6821-A299A1474073}"/>
            </a:ext>
          </a:extLst>
        </xdr:cNvPr>
        <xdr:cNvSpPr/>
      </xdr:nvSpPr>
      <xdr:spPr>
        <a:xfrm rot="19631519">
          <a:off x="24142701" y="9074150"/>
          <a:ext cx="869950" cy="5588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117475</xdr:colOff>
      <xdr:row>11</xdr:row>
      <xdr:rowOff>12700</xdr:rowOff>
    </xdr:from>
    <xdr:to>
      <xdr:col>44</xdr:col>
      <xdr:colOff>231775</xdr:colOff>
      <xdr:row>25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29BBF5-5345-4728-9C95-00BE7ACB5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539750</xdr:colOff>
      <xdr:row>39</xdr:row>
      <xdr:rowOff>31750</xdr:rowOff>
    </xdr:from>
    <xdr:to>
      <xdr:col>42</xdr:col>
      <xdr:colOff>533400</xdr:colOff>
      <xdr:row>53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A4D5C3-3FF7-408D-ADA2-97BAB8A0C1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38101</xdr:colOff>
      <xdr:row>44</xdr:row>
      <xdr:rowOff>6350</xdr:rowOff>
    </xdr:from>
    <xdr:to>
      <xdr:col>37</xdr:col>
      <xdr:colOff>298451</xdr:colOff>
      <xdr:row>46</xdr:row>
      <xdr:rowOff>171450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CA6C25B-E460-4EFD-B243-130A277FCCA4}"/>
            </a:ext>
          </a:extLst>
        </xdr:cNvPr>
        <xdr:cNvSpPr/>
      </xdr:nvSpPr>
      <xdr:spPr>
        <a:xfrm rot="19631519">
          <a:off x="24142701" y="9074150"/>
          <a:ext cx="869950" cy="5588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117475</xdr:colOff>
      <xdr:row>11</xdr:row>
      <xdr:rowOff>12700</xdr:rowOff>
    </xdr:from>
    <xdr:to>
      <xdr:col>44</xdr:col>
      <xdr:colOff>231775</xdr:colOff>
      <xdr:row>25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EB001D-DD7B-4B47-A354-82A230DBE8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539750</xdr:colOff>
      <xdr:row>39</xdr:row>
      <xdr:rowOff>31750</xdr:rowOff>
    </xdr:from>
    <xdr:to>
      <xdr:col>42</xdr:col>
      <xdr:colOff>533400</xdr:colOff>
      <xdr:row>53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B95C73-4EC3-4035-B595-113C6EF24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38101</xdr:colOff>
      <xdr:row>44</xdr:row>
      <xdr:rowOff>6350</xdr:rowOff>
    </xdr:from>
    <xdr:to>
      <xdr:col>37</xdr:col>
      <xdr:colOff>298451</xdr:colOff>
      <xdr:row>46</xdr:row>
      <xdr:rowOff>171450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97D8B12-EE3C-4703-8AF2-DA501E6CAF34}"/>
            </a:ext>
          </a:extLst>
        </xdr:cNvPr>
        <xdr:cNvSpPr/>
      </xdr:nvSpPr>
      <xdr:spPr>
        <a:xfrm rot="19631519">
          <a:off x="24142701" y="9074150"/>
          <a:ext cx="869950" cy="5588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117475</xdr:colOff>
      <xdr:row>11</xdr:row>
      <xdr:rowOff>12700</xdr:rowOff>
    </xdr:from>
    <xdr:to>
      <xdr:col>44</xdr:col>
      <xdr:colOff>231775</xdr:colOff>
      <xdr:row>25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1F8DA2-07B0-4416-8DC7-F8C2328261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539750</xdr:colOff>
      <xdr:row>39</xdr:row>
      <xdr:rowOff>31750</xdr:rowOff>
    </xdr:from>
    <xdr:to>
      <xdr:col>42</xdr:col>
      <xdr:colOff>533400</xdr:colOff>
      <xdr:row>53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644572-EC6F-4EBF-BDA6-376D7CED4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38101</xdr:colOff>
      <xdr:row>44</xdr:row>
      <xdr:rowOff>6350</xdr:rowOff>
    </xdr:from>
    <xdr:to>
      <xdr:col>37</xdr:col>
      <xdr:colOff>298451</xdr:colOff>
      <xdr:row>46</xdr:row>
      <xdr:rowOff>171450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2124B560-2022-47F2-84FE-F460DA39FF3C}"/>
            </a:ext>
          </a:extLst>
        </xdr:cNvPr>
        <xdr:cNvSpPr/>
      </xdr:nvSpPr>
      <xdr:spPr>
        <a:xfrm rot="19631519">
          <a:off x="24142701" y="9074150"/>
          <a:ext cx="869950" cy="5588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117475</xdr:colOff>
      <xdr:row>11</xdr:row>
      <xdr:rowOff>12700</xdr:rowOff>
    </xdr:from>
    <xdr:to>
      <xdr:col>44</xdr:col>
      <xdr:colOff>231775</xdr:colOff>
      <xdr:row>25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764338-0CB5-421B-8A05-0CC4D3EBA7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539750</xdr:colOff>
      <xdr:row>39</xdr:row>
      <xdr:rowOff>31750</xdr:rowOff>
    </xdr:from>
    <xdr:to>
      <xdr:col>42</xdr:col>
      <xdr:colOff>533400</xdr:colOff>
      <xdr:row>53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0641B4-9493-4A0B-8033-F6949DF6D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38101</xdr:colOff>
      <xdr:row>44</xdr:row>
      <xdr:rowOff>6350</xdr:rowOff>
    </xdr:from>
    <xdr:to>
      <xdr:col>37</xdr:col>
      <xdr:colOff>298451</xdr:colOff>
      <xdr:row>46</xdr:row>
      <xdr:rowOff>171450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EE83180-9DC1-4388-A3DB-3EF179CAE6DD}"/>
            </a:ext>
          </a:extLst>
        </xdr:cNvPr>
        <xdr:cNvSpPr/>
      </xdr:nvSpPr>
      <xdr:spPr>
        <a:xfrm rot="19631519">
          <a:off x="24142701" y="9074150"/>
          <a:ext cx="869950" cy="5588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L1000"/>
  <sheetViews>
    <sheetView tabSelected="1" view="pageBreakPreview" zoomScale="60" zoomScaleNormal="100" workbookViewId="0">
      <selection activeCell="A10" sqref="A10"/>
    </sheetView>
  </sheetViews>
  <sheetFormatPr defaultColWidth="14.453125" defaultRowHeight="15" customHeight="1" x14ac:dyDescent="0.35"/>
  <cols>
    <col min="1" max="11" width="8.7265625" customWidth="1"/>
    <col min="12" max="13" width="14.08984375" customWidth="1"/>
    <col min="14" max="19" width="8.7265625" customWidth="1"/>
    <col min="20" max="20" width="14.08984375" customWidth="1"/>
    <col min="21" max="21" width="5.7265625" customWidth="1"/>
    <col min="22" max="32" width="8.7265625" customWidth="1"/>
    <col min="33" max="36" width="13.1796875" customWidth="1"/>
    <col min="37" max="42" width="8.7265625" customWidth="1"/>
  </cols>
  <sheetData>
    <row r="2" spans="3:38" ht="46" x14ac:dyDescent="1">
      <c r="D2" s="18"/>
      <c r="E2" s="18" t="s">
        <v>0</v>
      </c>
      <c r="J2" s="18"/>
    </row>
    <row r="3" spans="3:38" ht="15" customHeight="1" x14ac:dyDescent="0.35">
      <c r="J3" s="42" t="s">
        <v>34</v>
      </c>
      <c r="K3" s="42"/>
      <c r="L3" s="42"/>
      <c r="M3" s="42"/>
    </row>
    <row r="4" spans="3:38" ht="14.5" x14ac:dyDescent="0.35">
      <c r="C4" s="1" t="s">
        <v>1</v>
      </c>
      <c r="J4" s="42"/>
      <c r="K4" s="42"/>
      <c r="L4" s="42"/>
      <c r="M4" s="42"/>
    </row>
    <row r="5" spans="3:38" ht="29" x14ac:dyDescent="0.35">
      <c r="C5" s="2" t="s">
        <v>2</v>
      </c>
      <c r="D5" s="2" t="s">
        <v>3</v>
      </c>
      <c r="E5" s="2" t="s">
        <v>4</v>
      </c>
      <c r="F5" s="2" t="s">
        <v>5</v>
      </c>
      <c r="H5" s="3" t="s">
        <v>6</v>
      </c>
      <c r="J5" s="42"/>
      <c r="K5" s="42"/>
      <c r="L5" s="42"/>
      <c r="M5" s="42"/>
    </row>
    <row r="6" spans="3:38" ht="14.5" x14ac:dyDescent="0.35">
      <c r="C6" s="4">
        <v>1</v>
      </c>
      <c r="D6" s="4">
        <v>1</v>
      </c>
      <c r="E6" s="4">
        <v>1</v>
      </c>
      <c r="F6" s="4" t="s">
        <v>7</v>
      </c>
      <c r="H6" s="5" t="s">
        <v>15</v>
      </c>
    </row>
    <row r="7" spans="3:38" ht="14.5" x14ac:dyDescent="0.35">
      <c r="C7" s="4">
        <v>2</v>
      </c>
      <c r="D7" s="4">
        <v>2</v>
      </c>
      <c r="E7" s="4">
        <v>1</v>
      </c>
      <c r="F7" s="4" t="s">
        <v>7</v>
      </c>
      <c r="H7" s="5" t="s">
        <v>8</v>
      </c>
      <c r="P7" s="30" t="s">
        <v>18</v>
      </c>
      <c r="Q7" s="30"/>
      <c r="R7" s="30"/>
      <c r="S7" s="30"/>
    </row>
    <row r="8" spans="3:38" ht="14.5" x14ac:dyDescent="0.35">
      <c r="C8" s="4">
        <v>3</v>
      </c>
      <c r="D8" s="4">
        <v>3</v>
      </c>
      <c r="E8" s="4">
        <v>2</v>
      </c>
      <c r="F8" s="4" t="s">
        <v>7</v>
      </c>
      <c r="P8" s="30"/>
      <c r="Q8" s="30"/>
      <c r="R8" s="30"/>
      <c r="S8" s="30"/>
    </row>
    <row r="9" spans="3:38" ht="15" customHeight="1" x14ac:dyDescent="0.35">
      <c r="C9" s="4">
        <v>4</v>
      </c>
      <c r="D9" s="4">
        <v>4</v>
      </c>
      <c r="E9" s="4">
        <v>2</v>
      </c>
      <c r="F9" s="4" t="s">
        <v>9</v>
      </c>
      <c r="H9" s="31" t="s">
        <v>10</v>
      </c>
      <c r="I9" s="29"/>
      <c r="P9" s="16" t="s">
        <v>12</v>
      </c>
      <c r="AC9" s="31" t="s">
        <v>11</v>
      </c>
      <c r="AD9" s="29"/>
      <c r="AE9" s="29"/>
      <c r="AF9" s="29"/>
    </row>
    <row r="10" spans="3:38" ht="14.5" x14ac:dyDescent="0.35">
      <c r="C10" s="4">
        <v>5</v>
      </c>
      <c r="D10" s="4">
        <v>5</v>
      </c>
      <c r="E10" s="4">
        <v>3</v>
      </c>
      <c r="F10" s="4" t="s">
        <v>9</v>
      </c>
      <c r="H10" s="32" t="s">
        <v>17</v>
      </c>
      <c r="I10" s="29"/>
      <c r="J10" s="29"/>
      <c r="K10" s="29"/>
      <c r="L10" s="29"/>
      <c r="M10" s="29"/>
      <c r="N10" s="29"/>
      <c r="P10" t="s">
        <v>19</v>
      </c>
    </row>
    <row r="11" spans="3:38" ht="14.5" x14ac:dyDescent="0.35">
      <c r="C11" s="4">
        <v>6</v>
      </c>
      <c r="D11" s="4">
        <v>6</v>
      </c>
      <c r="E11" s="4">
        <v>3</v>
      </c>
      <c r="F11" s="4" t="s">
        <v>9</v>
      </c>
      <c r="H11" s="29"/>
      <c r="I11" s="29"/>
      <c r="J11" s="29"/>
      <c r="K11" s="29"/>
      <c r="L11" s="29"/>
      <c r="M11" s="29"/>
      <c r="N11" s="29"/>
      <c r="P11" s="34" t="s">
        <v>27</v>
      </c>
      <c r="AC11" s="2" t="s">
        <v>2</v>
      </c>
      <c r="AD11" s="2" t="s">
        <v>3</v>
      </c>
      <c r="AE11" s="2" t="s">
        <v>4</v>
      </c>
      <c r="AF11" s="21" t="s">
        <v>5</v>
      </c>
      <c r="AG11" s="24" t="s">
        <v>21</v>
      </c>
      <c r="AH11" s="24" t="s">
        <v>22</v>
      </c>
      <c r="AI11" s="24" t="s">
        <v>23</v>
      </c>
      <c r="AJ11" s="24" t="s">
        <v>24</v>
      </c>
    </row>
    <row r="12" spans="3:38" thickBot="1" x14ac:dyDescent="0.4">
      <c r="C12" s="4">
        <v>7</v>
      </c>
      <c r="D12" s="4">
        <v>7</v>
      </c>
      <c r="E12" s="4">
        <v>4</v>
      </c>
      <c r="F12" s="4" t="s">
        <v>7</v>
      </c>
      <c r="H12" s="7"/>
      <c r="P12" s="34" t="s">
        <v>20</v>
      </c>
      <c r="AC12" s="4">
        <v>1</v>
      </c>
      <c r="AD12" s="4">
        <v>1</v>
      </c>
      <c r="AE12" s="4">
        <v>1</v>
      </c>
      <c r="AF12" s="22" t="s">
        <v>7</v>
      </c>
      <c r="AG12" s="23">
        <f>IF($AF12="A",$AD12,"")</f>
        <v>1</v>
      </c>
      <c r="AH12" s="23">
        <f>IF($AF12="A",$AE12,"")</f>
        <v>1</v>
      </c>
      <c r="AI12" s="23" t="str">
        <f>IF($AF12="B",$AD12,"")</f>
        <v/>
      </c>
      <c r="AJ12" s="23" t="str">
        <f>IF($AF12="B",$AE12,"")</f>
        <v/>
      </c>
      <c r="AK12">
        <v>6</v>
      </c>
      <c r="AL12">
        <v>5</v>
      </c>
    </row>
    <row r="13" spans="3:38" ht="15.5" customHeight="1" x14ac:dyDescent="0.35">
      <c r="C13" s="4">
        <v>8</v>
      </c>
      <c r="D13" s="4">
        <v>8</v>
      </c>
      <c r="E13" s="4">
        <v>4</v>
      </c>
      <c r="F13" s="4" t="s">
        <v>7</v>
      </c>
      <c r="H13" s="36" t="s">
        <v>33</v>
      </c>
      <c r="I13" s="37"/>
      <c r="J13" s="37"/>
      <c r="K13" s="37"/>
      <c r="L13" s="38"/>
      <c r="P13" s="34" t="s">
        <v>28</v>
      </c>
      <c r="AC13" s="4">
        <v>2</v>
      </c>
      <c r="AD13" s="4">
        <v>2</v>
      </c>
      <c r="AE13" s="4">
        <v>1</v>
      </c>
      <c r="AF13" s="22" t="s">
        <v>7</v>
      </c>
      <c r="AG13" s="23">
        <f t="shared" ref="AG13:AG31" si="0">IF($AF13="A",$AD13,"")</f>
        <v>2</v>
      </c>
      <c r="AH13" s="23">
        <f t="shared" ref="AH13:AH31" si="1">IF($AF13="A",$AE13,"")</f>
        <v>1</v>
      </c>
      <c r="AI13" s="23" t="str">
        <f t="shared" ref="AI13:AI31" si="2">IF($AF13="B",$AD13,"")</f>
        <v/>
      </c>
      <c r="AJ13" s="23" t="str">
        <f t="shared" ref="AJ13:AJ31" si="3">IF($AF13="B",$AE13,"")</f>
        <v/>
      </c>
      <c r="AK13">
        <v>6</v>
      </c>
      <c r="AL13">
        <v>5</v>
      </c>
    </row>
    <row r="14" spans="3:38" ht="15.5" customHeight="1" thickBot="1" x14ac:dyDescent="0.4">
      <c r="C14" s="4">
        <v>9</v>
      </c>
      <c r="D14" s="4">
        <v>9</v>
      </c>
      <c r="E14" s="4">
        <v>5</v>
      </c>
      <c r="F14" s="4" t="s">
        <v>9</v>
      </c>
      <c r="H14" s="39"/>
      <c r="I14" s="40"/>
      <c r="J14" s="40"/>
      <c r="K14" s="40"/>
      <c r="L14" s="41"/>
      <c r="P14" s="34" t="s">
        <v>29</v>
      </c>
      <c r="AC14" s="4">
        <v>3</v>
      </c>
      <c r="AD14" s="4">
        <v>3</v>
      </c>
      <c r="AE14" s="4">
        <v>2</v>
      </c>
      <c r="AF14" s="22" t="s">
        <v>7</v>
      </c>
      <c r="AG14" s="23">
        <f t="shared" si="0"/>
        <v>3</v>
      </c>
      <c r="AH14" s="23">
        <f t="shared" si="1"/>
        <v>2</v>
      </c>
      <c r="AI14" s="23" t="str">
        <f t="shared" si="2"/>
        <v/>
      </c>
      <c r="AJ14" s="23" t="str">
        <f t="shared" si="3"/>
        <v/>
      </c>
      <c r="AK14">
        <v>6</v>
      </c>
      <c r="AL14">
        <v>5</v>
      </c>
    </row>
    <row r="15" spans="3:38" ht="14.5" x14ac:dyDescent="0.35">
      <c r="C15" s="4">
        <v>10</v>
      </c>
      <c r="D15" s="4">
        <v>10</v>
      </c>
      <c r="E15" s="4">
        <v>5</v>
      </c>
      <c r="F15" s="4" t="s">
        <v>7</v>
      </c>
      <c r="P15" s="34" t="s">
        <v>30</v>
      </c>
      <c r="AC15" s="4">
        <v>4</v>
      </c>
      <c r="AD15" s="4">
        <v>4</v>
      </c>
      <c r="AE15" s="4">
        <v>2</v>
      </c>
      <c r="AF15" s="22" t="s">
        <v>9</v>
      </c>
      <c r="AG15" s="23" t="str">
        <f t="shared" si="0"/>
        <v/>
      </c>
      <c r="AH15" s="23" t="str">
        <f t="shared" si="1"/>
        <v/>
      </c>
      <c r="AI15" s="23">
        <f t="shared" si="2"/>
        <v>4</v>
      </c>
      <c r="AJ15" s="23">
        <f t="shared" si="3"/>
        <v>2</v>
      </c>
      <c r="AK15">
        <v>6</v>
      </c>
      <c r="AL15">
        <v>5</v>
      </c>
    </row>
    <row r="16" spans="3:38" ht="19.5" customHeight="1" x14ac:dyDescent="0.35">
      <c r="C16" s="4">
        <v>11</v>
      </c>
      <c r="D16" s="4">
        <v>1</v>
      </c>
      <c r="E16" s="4">
        <v>6</v>
      </c>
      <c r="F16" s="4" t="s">
        <v>9</v>
      </c>
      <c r="AC16" s="4">
        <v>5</v>
      </c>
      <c r="AD16" s="4">
        <v>5</v>
      </c>
      <c r="AE16" s="4">
        <v>3</v>
      </c>
      <c r="AF16" s="22" t="s">
        <v>9</v>
      </c>
      <c r="AG16" s="23" t="str">
        <f t="shared" si="0"/>
        <v/>
      </c>
      <c r="AH16" s="23" t="str">
        <f t="shared" si="1"/>
        <v/>
      </c>
      <c r="AI16" s="23">
        <f t="shared" si="2"/>
        <v>5</v>
      </c>
      <c r="AJ16" s="23">
        <f t="shared" si="3"/>
        <v>3</v>
      </c>
      <c r="AK16">
        <v>6</v>
      </c>
      <c r="AL16">
        <v>5</v>
      </c>
    </row>
    <row r="17" spans="3:38" ht="14.5" x14ac:dyDescent="0.35">
      <c r="C17" s="4">
        <v>12</v>
      </c>
      <c r="D17" s="4">
        <v>2</v>
      </c>
      <c r="E17" s="4">
        <v>6</v>
      </c>
      <c r="F17" s="4" t="s">
        <v>9</v>
      </c>
      <c r="H17" s="2" t="s">
        <v>2</v>
      </c>
      <c r="I17" s="2" t="s">
        <v>3</v>
      </c>
      <c r="J17" s="2" t="s">
        <v>4</v>
      </c>
      <c r="K17" s="2" t="s">
        <v>5</v>
      </c>
      <c r="L17" s="2" t="s">
        <v>16</v>
      </c>
      <c r="M17" s="11"/>
      <c r="P17" s="2" t="s">
        <v>2</v>
      </c>
      <c r="Q17" s="2" t="s">
        <v>3</v>
      </c>
      <c r="R17" s="2" t="s">
        <v>4</v>
      </c>
      <c r="S17" s="2" t="s">
        <v>5</v>
      </c>
      <c r="T17" s="2" t="s">
        <v>16</v>
      </c>
      <c r="U17" s="11"/>
      <c r="AC17" s="4">
        <v>6</v>
      </c>
      <c r="AD17" s="4">
        <v>6</v>
      </c>
      <c r="AE17" s="4">
        <v>3</v>
      </c>
      <c r="AF17" s="22" t="s">
        <v>9</v>
      </c>
      <c r="AG17" s="23" t="str">
        <f t="shared" si="0"/>
        <v/>
      </c>
      <c r="AH17" s="23" t="str">
        <f t="shared" si="1"/>
        <v/>
      </c>
      <c r="AI17" s="23">
        <f t="shared" si="2"/>
        <v>6</v>
      </c>
      <c r="AJ17" s="23">
        <f t="shared" si="3"/>
        <v>3</v>
      </c>
      <c r="AK17">
        <v>6</v>
      </c>
      <c r="AL17">
        <v>5</v>
      </c>
    </row>
    <row r="18" spans="3:38" ht="14.5" x14ac:dyDescent="0.35">
      <c r="C18" s="4">
        <v>13</v>
      </c>
      <c r="D18" s="4">
        <v>3</v>
      </c>
      <c r="E18" s="4">
        <v>7</v>
      </c>
      <c r="F18" s="4" t="s">
        <v>7</v>
      </c>
      <c r="H18" s="4">
        <v>7</v>
      </c>
      <c r="I18" s="4">
        <v>7</v>
      </c>
      <c r="J18" s="4">
        <v>4</v>
      </c>
      <c r="K18" s="4" t="s">
        <v>7</v>
      </c>
      <c r="L18" s="8">
        <f>((ABS(I18-6)^2)+ABS((J18-5)^2))^(1/2)</f>
        <v>1.4142135623730951</v>
      </c>
      <c r="M18" s="12"/>
      <c r="P18" s="15">
        <v>7</v>
      </c>
      <c r="Q18" s="15">
        <v>7</v>
      </c>
      <c r="R18" s="15">
        <v>4</v>
      </c>
      <c r="S18" s="15" t="s">
        <v>7</v>
      </c>
      <c r="T18" s="9">
        <f>((ABS(Q18-6)^2)+(ABS(R18-5)^2))^(1/2)</f>
        <v>1.4142135623730951</v>
      </c>
      <c r="U18" s="13"/>
      <c r="AC18" s="4">
        <v>7</v>
      </c>
      <c r="AD18" s="4">
        <v>7</v>
      </c>
      <c r="AE18" s="4">
        <v>4</v>
      </c>
      <c r="AF18" s="22" t="s">
        <v>7</v>
      </c>
      <c r="AG18" s="23">
        <f t="shared" si="0"/>
        <v>7</v>
      </c>
      <c r="AH18" s="23">
        <f t="shared" si="1"/>
        <v>4</v>
      </c>
      <c r="AI18" s="23" t="str">
        <f t="shared" si="2"/>
        <v/>
      </c>
      <c r="AJ18" s="23" t="str">
        <f t="shared" si="3"/>
        <v/>
      </c>
      <c r="AK18">
        <v>6</v>
      </c>
      <c r="AL18">
        <v>5</v>
      </c>
    </row>
    <row r="19" spans="3:38" ht="14.5" x14ac:dyDescent="0.35">
      <c r="C19" s="4">
        <v>14</v>
      </c>
      <c r="D19" s="4">
        <v>4</v>
      </c>
      <c r="E19" s="4">
        <v>7</v>
      </c>
      <c r="F19" s="4" t="s">
        <v>7</v>
      </c>
      <c r="H19" s="4">
        <v>6</v>
      </c>
      <c r="I19" s="4">
        <v>6</v>
      </c>
      <c r="J19" s="4">
        <v>3</v>
      </c>
      <c r="K19" s="4" t="s">
        <v>9</v>
      </c>
      <c r="L19" s="8">
        <f>((ABS(I19-6)^2)+ABS((J19-5)^2))^(1/2)</f>
        <v>2</v>
      </c>
      <c r="M19" s="12"/>
      <c r="P19" s="15">
        <v>6</v>
      </c>
      <c r="Q19" s="15">
        <v>6</v>
      </c>
      <c r="R19" s="15">
        <v>3</v>
      </c>
      <c r="S19" s="15" t="s">
        <v>9</v>
      </c>
      <c r="T19" s="9">
        <f>((ABS(Q19-6)^2)+(ABS(R19-5)^2))^(1/2)</f>
        <v>2</v>
      </c>
      <c r="U19" s="13"/>
      <c r="AC19" s="4">
        <v>8</v>
      </c>
      <c r="AD19" s="4">
        <v>8</v>
      </c>
      <c r="AE19" s="4">
        <v>4</v>
      </c>
      <c r="AF19" s="22" t="s">
        <v>7</v>
      </c>
      <c r="AG19" s="23">
        <f t="shared" si="0"/>
        <v>8</v>
      </c>
      <c r="AH19" s="23">
        <f t="shared" si="1"/>
        <v>4</v>
      </c>
      <c r="AI19" s="23" t="str">
        <f t="shared" si="2"/>
        <v/>
      </c>
      <c r="AJ19" s="23" t="str">
        <f t="shared" si="3"/>
        <v/>
      </c>
      <c r="AK19">
        <v>6</v>
      </c>
      <c r="AL19">
        <v>5</v>
      </c>
    </row>
    <row r="20" spans="3:38" ht="14.5" x14ac:dyDescent="0.35">
      <c r="C20" s="4">
        <v>15</v>
      </c>
      <c r="D20" s="4">
        <v>5</v>
      </c>
      <c r="E20" s="4">
        <v>8</v>
      </c>
      <c r="F20" s="4" t="s">
        <v>9</v>
      </c>
      <c r="H20" s="4">
        <v>5</v>
      </c>
      <c r="I20" s="4">
        <v>5</v>
      </c>
      <c r="J20" s="4">
        <v>3</v>
      </c>
      <c r="K20" s="4" t="s">
        <v>9</v>
      </c>
      <c r="L20" s="8">
        <f>((ABS(I20-6)^2)+ABS((J20-5)^2))^(1/2)</f>
        <v>2.2360679774997898</v>
      </c>
      <c r="M20" s="12"/>
      <c r="P20" s="15">
        <v>5</v>
      </c>
      <c r="Q20" s="15">
        <v>5</v>
      </c>
      <c r="R20" s="15">
        <v>3</v>
      </c>
      <c r="S20" s="15" t="s">
        <v>9</v>
      </c>
      <c r="T20" s="9">
        <f>((ABS(Q20-6)^2)+(ABS(R20-5)^2))^(1/2)</f>
        <v>2.2360679774997898</v>
      </c>
      <c r="U20" s="13"/>
      <c r="V20" s="34" t="s">
        <v>31</v>
      </c>
      <c r="AC20" s="4">
        <v>9</v>
      </c>
      <c r="AD20" s="4">
        <v>9</v>
      </c>
      <c r="AE20" s="4">
        <v>5</v>
      </c>
      <c r="AF20" s="22" t="s">
        <v>9</v>
      </c>
      <c r="AG20" s="23" t="str">
        <f t="shared" si="0"/>
        <v/>
      </c>
      <c r="AH20" s="23" t="str">
        <f t="shared" si="1"/>
        <v/>
      </c>
      <c r="AI20" s="23">
        <f t="shared" si="2"/>
        <v>9</v>
      </c>
      <c r="AJ20" s="23">
        <f t="shared" si="3"/>
        <v>5</v>
      </c>
      <c r="AK20">
        <v>6</v>
      </c>
      <c r="AL20">
        <v>5</v>
      </c>
    </row>
    <row r="21" spans="3:38" ht="15.75" customHeight="1" x14ac:dyDescent="0.35">
      <c r="C21" s="4">
        <v>16</v>
      </c>
      <c r="D21" s="4">
        <v>6</v>
      </c>
      <c r="E21" s="4">
        <v>8</v>
      </c>
      <c r="F21" s="4" t="s">
        <v>9</v>
      </c>
      <c r="H21" s="4">
        <v>8</v>
      </c>
      <c r="I21" s="4">
        <v>8</v>
      </c>
      <c r="J21" s="4">
        <v>4</v>
      </c>
      <c r="K21" s="4" t="s">
        <v>7</v>
      </c>
      <c r="L21" s="8">
        <f>((ABS(I21-6)^2)+ABS((J21-5)^2))^(1/2)</f>
        <v>2.2360679774997898</v>
      </c>
      <c r="M21" s="12"/>
      <c r="P21" s="15">
        <v>8</v>
      </c>
      <c r="Q21" s="15">
        <v>8</v>
      </c>
      <c r="R21" s="15">
        <v>4</v>
      </c>
      <c r="S21" s="15" t="s">
        <v>7</v>
      </c>
      <c r="T21" s="9">
        <f>((ABS(Q21-6)^2)+(ABS(R21-5)^2))^(1/2)</f>
        <v>2.2360679774997898</v>
      </c>
      <c r="U21" s="12"/>
      <c r="V21" s="33" t="s">
        <v>32</v>
      </c>
      <c r="W21" s="33"/>
      <c r="X21" s="33"/>
      <c r="Y21" s="33"/>
      <c r="Z21" s="33"/>
      <c r="AA21" s="33"/>
      <c r="AC21" s="4">
        <v>10</v>
      </c>
      <c r="AD21" s="4">
        <v>10</v>
      </c>
      <c r="AE21" s="4">
        <v>5</v>
      </c>
      <c r="AF21" s="22" t="s">
        <v>7</v>
      </c>
      <c r="AG21" s="23">
        <f t="shared" si="0"/>
        <v>10</v>
      </c>
      <c r="AH21" s="23">
        <f t="shared" si="1"/>
        <v>5</v>
      </c>
      <c r="AI21" s="23" t="str">
        <f t="shared" si="2"/>
        <v/>
      </c>
      <c r="AJ21" s="23" t="str">
        <f t="shared" si="3"/>
        <v/>
      </c>
      <c r="AK21">
        <v>6</v>
      </c>
      <c r="AL21">
        <v>5</v>
      </c>
    </row>
    <row r="22" spans="3:38" ht="15.75" customHeight="1" x14ac:dyDescent="0.35">
      <c r="C22" s="4">
        <v>17</v>
      </c>
      <c r="D22" s="4">
        <v>7</v>
      </c>
      <c r="E22" s="4">
        <v>9</v>
      </c>
      <c r="F22" s="4" t="s">
        <v>7</v>
      </c>
      <c r="H22" s="4">
        <v>14</v>
      </c>
      <c r="I22" s="4">
        <v>4</v>
      </c>
      <c r="J22" s="4">
        <v>7</v>
      </c>
      <c r="K22" s="4" t="s">
        <v>7</v>
      </c>
      <c r="L22" s="8">
        <f>((ABS(I22-6)^2)+ABS((J22-5)^2))^(1/2)</f>
        <v>2.8284271247461903</v>
      </c>
      <c r="M22" s="12"/>
      <c r="P22" s="15">
        <v>14</v>
      </c>
      <c r="Q22" s="15">
        <v>4</v>
      </c>
      <c r="R22" s="15">
        <v>7</v>
      </c>
      <c r="S22" s="15" t="s">
        <v>7</v>
      </c>
      <c r="T22" s="9">
        <f>((ABS(Q22-6)^2)+(ABS(R22-5)^2))^(1/2)</f>
        <v>2.8284271247461903</v>
      </c>
      <c r="U22" s="12"/>
      <c r="V22" s="33"/>
      <c r="W22" s="33"/>
      <c r="X22" s="33"/>
      <c r="Y22" s="33"/>
      <c r="Z22" s="33"/>
      <c r="AA22" s="33"/>
      <c r="AC22" s="4">
        <v>11</v>
      </c>
      <c r="AD22" s="4">
        <v>1</v>
      </c>
      <c r="AE22" s="4">
        <v>6</v>
      </c>
      <c r="AF22" s="22" t="s">
        <v>9</v>
      </c>
      <c r="AG22" s="23" t="str">
        <f t="shared" si="0"/>
        <v/>
      </c>
      <c r="AH22" s="23" t="str">
        <f t="shared" si="1"/>
        <v/>
      </c>
      <c r="AI22" s="23">
        <f t="shared" si="2"/>
        <v>1</v>
      </c>
      <c r="AJ22" s="23">
        <f t="shared" si="3"/>
        <v>6</v>
      </c>
      <c r="AK22">
        <v>6</v>
      </c>
      <c r="AL22">
        <v>5</v>
      </c>
    </row>
    <row r="23" spans="3:38" ht="15.75" customHeight="1" x14ac:dyDescent="0.35">
      <c r="C23" s="4">
        <v>18</v>
      </c>
      <c r="D23" s="4">
        <v>8</v>
      </c>
      <c r="E23" s="4">
        <v>9</v>
      </c>
      <c r="F23" s="4" t="s">
        <v>7</v>
      </c>
      <c r="H23" s="4">
        <v>9</v>
      </c>
      <c r="I23" s="4">
        <v>9</v>
      </c>
      <c r="J23" s="4">
        <v>5</v>
      </c>
      <c r="K23" s="4" t="s">
        <v>9</v>
      </c>
      <c r="L23" s="8">
        <f>((ABS(I23-6)^2)+ABS((J23-5)^2))^(1/2)</f>
        <v>3</v>
      </c>
      <c r="M23" s="12"/>
      <c r="P23" s="14">
        <v>16</v>
      </c>
      <c r="Q23" s="14">
        <v>6</v>
      </c>
      <c r="R23" s="14">
        <v>8</v>
      </c>
      <c r="S23" s="14" t="s">
        <v>9</v>
      </c>
      <c r="T23" s="9">
        <f>((ABS(Q23-6)^2)+(ABS(R23-5)^2))^(1/2)</f>
        <v>3</v>
      </c>
      <c r="U23" s="12"/>
      <c r="V23" s="33"/>
      <c r="W23" s="33"/>
      <c r="X23" s="33"/>
      <c r="Y23" s="33"/>
      <c r="Z23" s="33"/>
      <c r="AA23" s="33"/>
      <c r="AC23" s="4">
        <v>12</v>
      </c>
      <c r="AD23" s="4">
        <v>2</v>
      </c>
      <c r="AE23" s="4">
        <v>6</v>
      </c>
      <c r="AF23" s="22" t="s">
        <v>9</v>
      </c>
      <c r="AG23" s="23" t="str">
        <f t="shared" si="0"/>
        <v/>
      </c>
      <c r="AH23" s="23" t="str">
        <f t="shared" si="1"/>
        <v/>
      </c>
      <c r="AI23" s="23">
        <f t="shared" si="2"/>
        <v>2</v>
      </c>
      <c r="AJ23" s="23">
        <f t="shared" si="3"/>
        <v>6</v>
      </c>
      <c r="AK23">
        <v>6</v>
      </c>
      <c r="AL23">
        <v>5</v>
      </c>
    </row>
    <row r="24" spans="3:38" ht="15.75" customHeight="1" x14ac:dyDescent="0.35">
      <c r="C24" s="4">
        <v>19</v>
      </c>
      <c r="D24" s="4">
        <v>9</v>
      </c>
      <c r="E24" s="4">
        <v>10</v>
      </c>
      <c r="F24" s="4" t="s">
        <v>9</v>
      </c>
      <c r="H24" s="4">
        <v>16</v>
      </c>
      <c r="I24" s="4">
        <v>6</v>
      </c>
      <c r="J24" s="4">
        <v>8</v>
      </c>
      <c r="K24" s="4" t="s">
        <v>9</v>
      </c>
      <c r="L24" s="8">
        <f>((ABS(I24-6)^2)+ABS((J24-5)^2))^(1/2)</f>
        <v>3</v>
      </c>
      <c r="M24" s="12"/>
      <c r="P24" s="14">
        <v>9</v>
      </c>
      <c r="Q24" s="14">
        <v>9</v>
      </c>
      <c r="R24" s="14">
        <v>5</v>
      </c>
      <c r="S24" s="14" t="s">
        <v>9</v>
      </c>
      <c r="T24" s="9">
        <f>((ABS(Q24-6)^2)+(ABS(R24-5)^2))^(1/2)</f>
        <v>3</v>
      </c>
      <c r="U24" s="12"/>
      <c r="AC24" s="4">
        <v>13</v>
      </c>
      <c r="AD24" s="4">
        <v>3</v>
      </c>
      <c r="AE24" s="4">
        <v>7</v>
      </c>
      <c r="AF24" s="22" t="s">
        <v>7</v>
      </c>
      <c r="AG24" s="23">
        <f t="shared" si="0"/>
        <v>3</v>
      </c>
      <c r="AH24" s="23">
        <f t="shared" si="1"/>
        <v>7</v>
      </c>
      <c r="AI24" s="23" t="str">
        <f t="shared" si="2"/>
        <v/>
      </c>
      <c r="AJ24" s="23" t="str">
        <f t="shared" si="3"/>
        <v/>
      </c>
      <c r="AK24">
        <v>6</v>
      </c>
      <c r="AL24">
        <v>5</v>
      </c>
    </row>
    <row r="25" spans="3:38" ht="15.75" customHeight="1" x14ac:dyDescent="0.35">
      <c r="C25" s="4">
        <v>20</v>
      </c>
      <c r="D25" s="4">
        <v>10</v>
      </c>
      <c r="E25" s="4">
        <v>10</v>
      </c>
      <c r="F25" s="4" t="s">
        <v>7</v>
      </c>
      <c r="H25" s="4">
        <v>15</v>
      </c>
      <c r="I25" s="4">
        <v>5</v>
      </c>
      <c r="J25" s="4">
        <v>8</v>
      </c>
      <c r="K25" s="4" t="s">
        <v>9</v>
      </c>
      <c r="L25" s="8">
        <f>((ABS(I25-6)^2)+ABS((J25-5)^2))^(1/2)</f>
        <v>3.1622776601683795</v>
      </c>
      <c r="M25" s="12"/>
      <c r="P25" s="14">
        <v>15</v>
      </c>
      <c r="Q25" s="14">
        <v>5</v>
      </c>
      <c r="R25" s="14">
        <v>8</v>
      </c>
      <c r="S25" s="14" t="s">
        <v>9</v>
      </c>
      <c r="T25" s="9">
        <f>((ABS(Q25-6)^2)+(ABS(R25-5)^2))^(1/2)</f>
        <v>3.1622776601683795</v>
      </c>
      <c r="U25" s="12"/>
      <c r="W25" s="17"/>
      <c r="AC25" s="4">
        <v>14</v>
      </c>
      <c r="AD25" s="4">
        <v>4</v>
      </c>
      <c r="AE25" s="4">
        <v>7</v>
      </c>
      <c r="AF25" s="22" t="s">
        <v>7</v>
      </c>
      <c r="AG25" s="23">
        <f t="shared" si="0"/>
        <v>4</v>
      </c>
      <c r="AH25" s="23">
        <f t="shared" si="1"/>
        <v>7</v>
      </c>
      <c r="AI25" s="23" t="str">
        <f t="shared" si="2"/>
        <v/>
      </c>
      <c r="AJ25" s="23" t="str">
        <f t="shared" si="3"/>
        <v/>
      </c>
      <c r="AK25">
        <v>6</v>
      </c>
      <c r="AL25">
        <v>5</v>
      </c>
    </row>
    <row r="26" spans="3:38" ht="15" customHeight="1" x14ac:dyDescent="0.35">
      <c r="C26" s="6">
        <v>21</v>
      </c>
      <c r="D26" s="6">
        <v>4</v>
      </c>
      <c r="E26" s="6">
        <v>5</v>
      </c>
      <c r="F26" s="6" t="s">
        <v>13</v>
      </c>
      <c r="H26" s="4">
        <v>4</v>
      </c>
      <c r="I26" s="4">
        <v>4</v>
      </c>
      <c r="J26" s="4">
        <v>2</v>
      </c>
      <c r="K26" s="4" t="s">
        <v>9</v>
      </c>
      <c r="L26" s="8">
        <f>((ABS(I26-6)^2)+ABS((J26-5)^2))^(1/2)</f>
        <v>3.6055512754639891</v>
      </c>
      <c r="M26" s="12"/>
      <c r="P26" s="14">
        <v>13</v>
      </c>
      <c r="Q26" s="14">
        <v>3</v>
      </c>
      <c r="R26" s="14">
        <v>7</v>
      </c>
      <c r="S26" s="14" t="s">
        <v>7</v>
      </c>
      <c r="T26" s="9">
        <f>((ABS(Q26-6)^2)+(ABS(R26-5)^2))^(1/2)</f>
        <v>3.6055512754639891</v>
      </c>
      <c r="U26" s="12"/>
      <c r="W26" s="19"/>
      <c r="X26" s="19"/>
      <c r="Y26" s="19"/>
      <c r="Z26" s="19"/>
      <c r="AA26" s="19"/>
      <c r="AB26" s="20"/>
      <c r="AC26" s="4">
        <v>15</v>
      </c>
      <c r="AD26" s="4">
        <v>5</v>
      </c>
      <c r="AE26" s="4">
        <v>8</v>
      </c>
      <c r="AF26" s="22" t="s">
        <v>9</v>
      </c>
      <c r="AG26" s="23" t="str">
        <f t="shared" si="0"/>
        <v/>
      </c>
      <c r="AH26" s="23" t="str">
        <f t="shared" si="1"/>
        <v/>
      </c>
      <c r="AI26" s="23">
        <f t="shared" si="2"/>
        <v>5</v>
      </c>
      <c r="AJ26" s="23">
        <f t="shared" si="3"/>
        <v>8</v>
      </c>
      <c r="AK26">
        <v>6</v>
      </c>
      <c r="AL26">
        <v>5</v>
      </c>
    </row>
    <row r="27" spans="3:38" ht="15.75" customHeight="1" x14ac:dyDescent="0.35">
      <c r="H27" s="4">
        <v>13</v>
      </c>
      <c r="I27" s="4">
        <v>3</v>
      </c>
      <c r="J27" s="4">
        <v>7</v>
      </c>
      <c r="K27" s="4" t="s">
        <v>7</v>
      </c>
      <c r="L27" s="8">
        <f>((ABS(I27-6)^2)+ABS((J27-5)^2))^(1/2)</f>
        <v>3.6055512754639891</v>
      </c>
      <c r="M27" s="12"/>
      <c r="P27" s="14">
        <v>4</v>
      </c>
      <c r="Q27" s="14">
        <v>4</v>
      </c>
      <c r="R27" s="14">
        <v>2</v>
      </c>
      <c r="S27" s="14" t="s">
        <v>9</v>
      </c>
      <c r="T27" s="9">
        <f>((ABS(Q27-6)^2)+(ABS(R27-5)^2))^(1/2)</f>
        <v>3.6055512754639891</v>
      </c>
      <c r="U27" s="12"/>
      <c r="W27" s="19"/>
      <c r="X27" s="19"/>
      <c r="Y27" s="19"/>
      <c r="Z27" s="19"/>
      <c r="AA27" s="19"/>
      <c r="AB27" s="20"/>
      <c r="AC27" s="4">
        <v>16</v>
      </c>
      <c r="AD27" s="4">
        <v>6</v>
      </c>
      <c r="AE27" s="4">
        <v>8</v>
      </c>
      <c r="AF27" s="22" t="s">
        <v>9</v>
      </c>
      <c r="AG27" s="23" t="str">
        <f t="shared" si="0"/>
        <v/>
      </c>
      <c r="AH27" s="23" t="str">
        <f t="shared" si="1"/>
        <v/>
      </c>
      <c r="AI27" s="23">
        <f t="shared" si="2"/>
        <v>6</v>
      </c>
      <c r="AJ27" s="23">
        <f t="shared" si="3"/>
        <v>8</v>
      </c>
      <c r="AK27">
        <v>6</v>
      </c>
      <c r="AL27">
        <v>5</v>
      </c>
    </row>
    <row r="28" spans="3:38" ht="15.75" customHeight="1" x14ac:dyDescent="0.35">
      <c r="H28" s="4">
        <v>10</v>
      </c>
      <c r="I28" s="4">
        <v>10</v>
      </c>
      <c r="J28" s="4">
        <v>5</v>
      </c>
      <c r="K28" s="4" t="s">
        <v>7</v>
      </c>
      <c r="L28" s="8">
        <f>((ABS(I28-6)^2)+ABS((J28-5)^2))^(1/2)</f>
        <v>4</v>
      </c>
      <c r="M28" s="12"/>
      <c r="P28" s="14">
        <v>10</v>
      </c>
      <c r="Q28" s="14">
        <v>10</v>
      </c>
      <c r="R28" s="14">
        <v>5</v>
      </c>
      <c r="S28" s="14" t="s">
        <v>7</v>
      </c>
      <c r="T28" s="9">
        <f>((ABS(Q28-6)^2)+(ABS(R28-5)^2))^(1/2)</f>
        <v>4</v>
      </c>
      <c r="U28" s="12"/>
      <c r="AC28" s="4">
        <v>17</v>
      </c>
      <c r="AD28" s="4">
        <v>7</v>
      </c>
      <c r="AE28" s="4">
        <v>9</v>
      </c>
      <c r="AF28" s="22" t="s">
        <v>7</v>
      </c>
      <c r="AG28" s="23">
        <f t="shared" si="0"/>
        <v>7</v>
      </c>
      <c r="AH28" s="23">
        <f t="shared" si="1"/>
        <v>9</v>
      </c>
      <c r="AI28" s="23" t="str">
        <f t="shared" si="2"/>
        <v/>
      </c>
      <c r="AJ28" s="23" t="str">
        <f t="shared" si="3"/>
        <v/>
      </c>
      <c r="AK28">
        <v>6</v>
      </c>
      <c r="AL28">
        <v>5</v>
      </c>
    </row>
    <row r="29" spans="3:38" ht="15.75" customHeight="1" x14ac:dyDescent="0.35">
      <c r="H29" s="4">
        <v>12</v>
      </c>
      <c r="I29" s="4">
        <v>2</v>
      </c>
      <c r="J29" s="4">
        <v>6</v>
      </c>
      <c r="K29" s="4" t="s">
        <v>9</v>
      </c>
      <c r="L29" s="8">
        <f>((ABS(I29-6)^2)+ABS((J29-5)^2))^(1/2)</f>
        <v>4.1231056256176606</v>
      </c>
      <c r="M29" s="12"/>
      <c r="P29" s="14">
        <v>12</v>
      </c>
      <c r="Q29" s="14">
        <v>2</v>
      </c>
      <c r="R29" s="14">
        <v>6</v>
      </c>
      <c r="S29" s="14" t="s">
        <v>9</v>
      </c>
      <c r="T29" s="9">
        <f>((ABS(Q29-6)^2)+(ABS(R29-5)^2))^(1/2)</f>
        <v>4.1231056256176606</v>
      </c>
      <c r="U29" s="12"/>
      <c r="AC29" s="4">
        <v>18</v>
      </c>
      <c r="AD29" s="4">
        <v>8</v>
      </c>
      <c r="AE29" s="4">
        <v>9</v>
      </c>
      <c r="AF29" s="22" t="s">
        <v>7</v>
      </c>
      <c r="AG29" s="23">
        <f t="shared" si="0"/>
        <v>8</v>
      </c>
      <c r="AH29" s="23">
        <f t="shared" si="1"/>
        <v>9</v>
      </c>
      <c r="AI29" s="23" t="str">
        <f t="shared" si="2"/>
        <v/>
      </c>
      <c r="AJ29" s="23" t="str">
        <f t="shared" si="3"/>
        <v/>
      </c>
      <c r="AK29">
        <v>6</v>
      </c>
      <c r="AL29">
        <v>5</v>
      </c>
    </row>
    <row r="30" spans="3:38" ht="15.75" customHeight="1" x14ac:dyDescent="0.35">
      <c r="H30" s="4">
        <v>17</v>
      </c>
      <c r="I30" s="4">
        <v>7</v>
      </c>
      <c r="J30" s="4">
        <v>9</v>
      </c>
      <c r="K30" s="4" t="s">
        <v>7</v>
      </c>
      <c r="L30" s="8">
        <f>((ABS(I30-6)^2)+ABS((J30-5)^2))^(1/2)</f>
        <v>4.1231056256176606</v>
      </c>
      <c r="M30" s="12"/>
      <c r="P30" s="14">
        <v>17</v>
      </c>
      <c r="Q30" s="14">
        <v>7</v>
      </c>
      <c r="R30" s="14">
        <v>9</v>
      </c>
      <c r="S30" s="14" t="s">
        <v>7</v>
      </c>
      <c r="T30" s="9">
        <f>((ABS(Q30-6)^2)+(ABS(R30-5)^2))^(1/2)</f>
        <v>4.1231056256176606</v>
      </c>
      <c r="U30" s="12"/>
      <c r="AC30" s="4">
        <v>19</v>
      </c>
      <c r="AD30" s="4">
        <v>9</v>
      </c>
      <c r="AE30" s="4">
        <v>10</v>
      </c>
      <c r="AF30" s="22" t="s">
        <v>9</v>
      </c>
      <c r="AG30" s="23" t="str">
        <f t="shared" si="0"/>
        <v/>
      </c>
      <c r="AH30" s="23" t="str">
        <f t="shared" si="1"/>
        <v/>
      </c>
      <c r="AI30" s="23">
        <f t="shared" si="2"/>
        <v>9</v>
      </c>
      <c r="AJ30" s="23">
        <f t="shared" si="3"/>
        <v>10</v>
      </c>
      <c r="AK30">
        <v>6</v>
      </c>
      <c r="AL30">
        <v>5</v>
      </c>
    </row>
    <row r="31" spans="3:38" ht="15.75" customHeight="1" x14ac:dyDescent="0.35">
      <c r="H31" s="4">
        <v>3</v>
      </c>
      <c r="I31" s="4">
        <v>3</v>
      </c>
      <c r="J31" s="4">
        <v>2</v>
      </c>
      <c r="K31" s="4" t="s">
        <v>7</v>
      </c>
      <c r="L31" s="8">
        <f>((ABS(I31-6)^2)+ABS((J31-5)^2))^(1/2)</f>
        <v>4.2426406871192848</v>
      </c>
      <c r="M31" s="12"/>
      <c r="P31" s="14">
        <v>3</v>
      </c>
      <c r="Q31" s="14">
        <v>3</v>
      </c>
      <c r="R31" s="14">
        <v>2</v>
      </c>
      <c r="S31" s="14" t="s">
        <v>7</v>
      </c>
      <c r="T31" s="9">
        <f>((ABS(Q31-6)^2)+(ABS(R31-5)^2))^(1/2)</f>
        <v>4.2426406871192848</v>
      </c>
      <c r="U31" s="12"/>
      <c r="AC31" s="4">
        <v>20</v>
      </c>
      <c r="AD31" s="4">
        <v>10</v>
      </c>
      <c r="AE31" s="4">
        <v>10</v>
      </c>
      <c r="AF31" s="22" t="s">
        <v>7</v>
      </c>
      <c r="AG31" s="23">
        <f t="shared" si="0"/>
        <v>10</v>
      </c>
      <c r="AH31" s="23">
        <f t="shared" si="1"/>
        <v>10</v>
      </c>
      <c r="AI31" s="23" t="str">
        <f t="shared" si="2"/>
        <v/>
      </c>
      <c r="AJ31" s="23" t="str">
        <f t="shared" si="3"/>
        <v/>
      </c>
      <c r="AK31">
        <v>6</v>
      </c>
      <c r="AL31">
        <v>5</v>
      </c>
    </row>
    <row r="32" spans="3:38" ht="15.75" customHeight="1" x14ac:dyDescent="0.35">
      <c r="H32" s="4">
        <v>18</v>
      </c>
      <c r="I32" s="4">
        <v>8</v>
      </c>
      <c r="J32" s="4">
        <v>9</v>
      </c>
      <c r="K32" s="4" t="s">
        <v>7</v>
      </c>
      <c r="L32" s="8">
        <f>((ABS(I32-6)^2)+ABS((J32-5)^2))^(1/2)</f>
        <v>4.4721359549995796</v>
      </c>
      <c r="M32" s="12"/>
      <c r="P32" s="14">
        <v>18</v>
      </c>
      <c r="Q32" s="14">
        <v>8</v>
      </c>
      <c r="R32" s="14">
        <v>9</v>
      </c>
      <c r="S32" s="14" t="s">
        <v>7</v>
      </c>
      <c r="T32" s="9">
        <f>((ABS(Q32-6)^2)+(ABS(R32-5)^2))^(1/2)</f>
        <v>4.4721359549995796</v>
      </c>
      <c r="U32" s="12"/>
    </row>
    <row r="33" spans="8:35" ht="15.75" customHeight="1" x14ac:dyDescent="0.35">
      <c r="H33" s="4">
        <v>11</v>
      </c>
      <c r="I33" s="4">
        <v>1</v>
      </c>
      <c r="J33" s="4">
        <v>6</v>
      </c>
      <c r="K33" s="4" t="s">
        <v>9</v>
      </c>
      <c r="L33" s="8">
        <f>((ABS(I33-6)^2)+ABS((J33-5)^2))^(1/2)</f>
        <v>5.0990195135927845</v>
      </c>
      <c r="M33" s="12"/>
      <c r="P33" s="14">
        <v>11</v>
      </c>
      <c r="Q33" s="14">
        <v>1</v>
      </c>
      <c r="R33" s="14">
        <v>6</v>
      </c>
      <c r="S33" s="14" t="s">
        <v>9</v>
      </c>
      <c r="T33" s="9">
        <f>((ABS(Q33-6)^2)+(ABS(R33-5)^2))^(1/2)</f>
        <v>5.0990195135927845</v>
      </c>
      <c r="U33" s="12"/>
    </row>
    <row r="34" spans="8:35" ht="15.75" customHeight="1" x14ac:dyDescent="0.35">
      <c r="H34" s="4">
        <v>2</v>
      </c>
      <c r="I34" s="4">
        <v>2</v>
      </c>
      <c r="J34" s="4">
        <v>1</v>
      </c>
      <c r="K34" s="4" t="s">
        <v>7</v>
      </c>
      <c r="L34" s="8">
        <f>((ABS(I34-6)^2)+ABS((J34-5)^2))^(1/2)</f>
        <v>5.6568542494923806</v>
      </c>
      <c r="M34" s="12"/>
      <c r="P34" s="14">
        <v>2</v>
      </c>
      <c r="Q34" s="14">
        <v>2</v>
      </c>
      <c r="R34" s="14">
        <v>1</v>
      </c>
      <c r="S34" s="14" t="s">
        <v>7</v>
      </c>
      <c r="T34" s="9">
        <f>((ABS(Q34-6)^2)+(ABS(R34-5)^2))^(1/2)</f>
        <v>5.6568542494923806</v>
      </c>
      <c r="U34" s="12"/>
      <c r="AC34" s="28" t="s">
        <v>14</v>
      </c>
      <c r="AD34" s="29"/>
      <c r="AE34" s="29"/>
      <c r="AF34" s="29"/>
    </row>
    <row r="35" spans="8:35" ht="15.75" customHeight="1" x14ac:dyDescent="0.35">
      <c r="H35" s="4">
        <v>19</v>
      </c>
      <c r="I35" s="4">
        <v>9</v>
      </c>
      <c r="J35" s="4">
        <v>10</v>
      </c>
      <c r="K35" s="4" t="s">
        <v>9</v>
      </c>
      <c r="L35" s="8">
        <f>((ABS(I35-6)^2)+ABS((J35-5)^2))^(1/2)</f>
        <v>5.8309518948453007</v>
      </c>
      <c r="M35" s="12"/>
      <c r="P35" s="14">
        <v>19</v>
      </c>
      <c r="Q35" s="14">
        <v>9</v>
      </c>
      <c r="R35" s="14">
        <v>10</v>
      </c>
      <c r="S35" s="14" t="s">
        <v>9</v>
      </c>
      <c r="T35" s="9">
        <f>((ABS(Q35-6)^2)+(ABS(R35-5)^2))^(1/2)</f>
        <v>5.8309518948453007</v>
      </c>
      <c r="U35" s="12"/>
      <c r="AC35" s="29"/>
      <c r="AD35" s="29"/>
      <c r="AE35" s="29"/>
      <c r="AF35" s="29"/>
    </row>
    <row r="36" spans="8:35" ht="15.75" customHeight="1" x14ac:dyDescent="0.35">
      <c r="H36" s="4">
        <v>1</v>
      </c>
      <c r="I36" s="4">
        <v>1</v>
      </c>
      <c r="J36" s="4">
        <v>1</v>
      </c>
      <c r="K36" s="4" t="s">
        <v>7</v>
      </c>
      <c r="L36" s="8">
        <f>((ABS(I36-6)^2)+ABS((J36-5)^2))^(1/2)</f>
        <v>6.4031242374328485</v>
      </c>
      <c r="M36" s="12"/>
      <c r="P36" s="14">
        <v>1</v>
      </c>
      <c r="Q36" s="14">
        <v>1</v>
      </c>
      <c r="R36" s="14">
        <v>1</v>
      </c>
      <c r="S36" s="14" t="s">
        <v>7</v>
      </c>
      <c r="T36" s="9">
        <f>((ABS(Q36-6)^2)+(ABS(R36-5)^2))^(1/2)</f>
        <v>6.4031242374328485</v>
      </c>
      <c r="U36" s="12"/>
    </row>
    <row r="37" spans="8:35" ht="15.75" customHeight="1" x14ac:dyDescent="0.35">
      <c r="H37" s="4">
        <v>20</v>
      </c>
      <c r="I37" s="4">
        <v>10</v>
      </c>
      <c r="J37" s="4">
        <v>10</v>
      </c>
      <c r="K37" s="4" t="s">
        <v>7</v>
      </c>
      <c r="L37" s="8">
        <f>((ABS(I37-6)^2)+ABS((J37-5)^2))^(1/2)</f>
        <v>6.4031242374328485</v>
      </c>
      <c r="M37" s="12"/>
      <c r="P37" s="14">
        <v>20</v>
      </c>
      <c r="Q37" s="14">
        <v>10</v>
      </c>
      <c r="R37" s="14">
        <v>10</v>
      </c>
      <c r="S37" s="14" t="s">
        <v>7</v>
      </c>
      <c r="T37" s="9">
        <f>((ABS(Q37-6)^2)+(ABS(R37-5)^2))^(1/2)</f>
        <v>6.4031242374328485</v>
      </c>
      <c r="U37" s="12"/>
      <c r="AC37" s="2" t="s">
        <v>2</v>
      </c>
      <c r="AD37" s="2" t="s">
        <v>3</v>
      </c>
      <c r="AE37" s="2" t="s">
        <v>4</v>
      </c>
      <c r="AF37" s="2" t="s">
        <v>5</v>
      </c>
      <c r="AG37" s="25" t="s">
        <v>16</v>
      </c>
      <c r="AH37" s="27" t="s">
        <v>25</v>
      </c>
      <c r="AI37" s="27" t="s">
        <v>26</v>
      </c>
    </row>
    <row r="38" spans="8:35" ht="15.75" customHeight="1" x14ac:dyDescent="0.35">
      <c r="AC38" s="15">
        <v>14</v>
      </c>
      <c r="AD38" s="15">
        <v>4</v>
      </c>
      <c r="AE38" s="15">
        <v>7</v>
      </c>
      <c r="AF38" s="15" t="s">
        <v>7</v>
      </c>
      <c r="AG38" s="26">
        <f>((ABS(AD38-5)^2)+(ABS(AE38-6)^2))^(1/2)</f>
        <v>1.4142135623730951</v>
      </c>
      <c r="AH38" s="23">
        <f>AD38</f>
        <v>4</v>
      </c>
      <c r="AI38" s="23">
        <f>AE38</f>
        <v>7</v>
      </c>
    </row>
    <row r="39" spans="8:35" ht="15.75" customHeight="1" x14ac:dyDescent="0.35">
      <c r="AC39" s="15">
        <v>15</v>
      </c>
      <c r="AD39" s="15">
        <v>5</v>
      </c>
      <c r="AE39" s="15">
        <v>8</v>
      </c>
      <c r="AF39" s="15" t="s">
        <v>9</v>
      </c>
      <c r="AG39" s="26">
        <f>((ABS(AD39-5)^2)+(ABS(AE39-6)^2))^(1/2)</f>
        <v>2</v>
      </c>
      <c r="AH39" s="23">
        <f t="shared" ref="AH39:AH42" si="4">AD39</f>
        <v>5</v>
      </c>
      <c r="AI39" s="23">
        <f t="shared" ref="AI39:AI42" si="5">AE39</f>
        <v>8</v>
      </c>
    </row>
    <row r="40" spans="8:35" ht="15.75" customHeight="1" x14ac:dyDescent="0.35">
      <c r="AC40" s="15">
        <v>13</v>
      </c>
      <c r="AD40" s="15">
        <v>3</v>
      </c>
      <c r="AE40" s="15">
        <v>7</v>
      </c>
      <c r="AF40" s="15" t="s">
        <v>7</v>
      </c>
      <c r="AG40" s="26">
        <f>((ABS(AD40-5)^2)+(ABS(AE40-6)^2))^(1/2)</f>
        <v>2.2360679774997898</v>
      </c>
      <c r="AH40" s="23">
        <f t="shared" si="4"/>
        <v>3</v>
      </c>
      <c r="AI40" s="23">
        <f t="shared" si="5"/>
        <v>7</v>
      </c>
    </row>
    <row r="41" spans="8:35" ht="15.75" customHeight="1" x14ac:dyDescent="0.35">
      <c r="AC41" s="15">
        <v>16</v>
      </c>
      <c r="AD41" s="15">
        <v>6</v>
      </c>
      <c r="AE41" s="15">
        <v>8</v>
      </c>
      <c r="AF41" s="15" t="s">
        <v>9</v>
      </c>
      <c r="AG41" s="26">
        <f>((ABS(AD41-5)^2)+(ABS(AE41-6)^2))^(1/2)</f>
        <v>2.2360679774997898</v>
      </c>
      <c r="AH41" s="23">
        <f t="shared" si="4"/>
        <v>6</v>
      </c>
      <c r="AI41" s="23">
        <f t="shared" si="5"/>
        <v>8</v>
      </c>
    </row>
    <row r="42" spans="8:35" ht="15.75" customHeight="1" x14ac:dyDescent="0.35">
      <c r="AC42" s="15">
        <v>7</v>
      </c>
      <c r="AD42" s="15">
        <v>7</v>
      </c>
      <c r="AE42" s="15">
        <v>4</v>
      </c>
      <c r="AF42" s="15" t="s">
        <v>7</v>
      </c>
      <c r="AG42" s="26">
        <f>((ABS(AD42-5)^2)+(ABS(AE42-6)^2))^(1/2)</f>
        <v>2.8284271247461903</v>
      </c>
      <c r="AH42" s="23">
        <f t="shared" si="4"/>
        <v>7</v>
      </c>
      <c r="AI42" s="23">
        <f t="shared" si="5"/>
        <v>4</v>
      </c>
    </row>
    <row r="43" spans="8:35" ht="15.75" customHeight="1" x14ac:dyDescent="0.35">
      <c r="AC43" s="14">
        <v>5</v>
      </c>
      <c r="AD43" s="14">
        <v>5</v>
      </c>
      <c r="AE43" s="14">
        <v>3</v>
      </c>
      <c r="AF43" s="14" t="s">
        <v>9</v>
      </c>
      <c r="AG43" s="26">
        <f>((ABS(AD43-5)^2)+(ABS(AE43-6)^2))^(1/2)</f>
        <v>3</v>
      </c>
      <c r="AH43" s="35"/>
      <c r="AI43" s="35"/>
    </row>
    <row r="44" spans="8:35" ht="15.75" customHeight="1" x14ac:dyDescent="0.35">
      <c r="AC44" s="14">
        <v>12</v>
      </c>
      <c r="AD44" s="14">
        <v>2</v>
      </c>
      <c r="AE44" s="14">
        <v>6</v>
      </c>
      <c r="AF44" s="14" t="s">
        <v>9</v>
      </c>
      <c r="AG44" s="26">
        <f>((ABS(AD44-5)^2)+(ABS(AE44-6)^2))^(1/2)</f>
        <v>3</v>
      </c>
      <c r="AH44" s="35"/>
      <c r="AI44" s="35"/>
    </row>
    <row r="45" spans="8:35" ht="15.75" customHeight="1" x14ac:dyDescent="0.35">
      <c r="AC45" s="4">
        <v>6</v>
      </c>
      <c r="AD45" s="4">
        <v>6</v>
      </c>
      <c r="AE45" s="4">
        <v>3</v>
      </c>
      <c r="AF45" s="4" t="s">
        <v>9</v>
      </c>
      <c r="AG45" s="26">
        <f>((ABS(AD45-5)^2)+(ABS(AE45-6)^2))^(1/2)</f>
        <v>3.1622776601683795</v>
      </c>
    </row>
    <row r="46" spans="8:35" ht="15.75" customHeight="1" x14ac:dyDescent="0.35">
      <c r="AC46" s="4">
        <v>8</v>
      </c>
      <c r="AD46" s="4">
        <v>8</v>
      </c>
      <c r="AE46" s="4">
        <v>4</v>
      </c>
      <c r="AF46" s="4" t="s">
        <v>7</v>
      </c>
      <c r="AG46" s="26">
        <f>((ABS(AD46-5)^2)+(ABS(AE46-6)^2))^(1/2)</f>
        <v>3.6055512754639891</v>
      </c>
    </row>
    <row r="47" spans="8:35" ht="15.75" customHeight="1" x14ac:dyDescent="0.35">
      <c r="AC47" s="4">
        <v>17</v>
      </c>
      <c r="AD47" s="4">
        <v>7</v>
      </c>
      <c r="AE47" s="4">
        <v>9</v>
      </c>
      <c r="AF47" s="4" t="s">
        <v>7</v>
      </c>
      <c r="AG47" s="26">
        <f>((ABS(AD47-5)^2)+(ABS(AE47-6)^2))^(1/2)</f>
        <v>3.6055512754639891</v>
      </c>
    </row>
    <row r="48" spans="8:35" ht="15.75" customHeight="1" x14ac:dyDescent="0.35">
      <c r="AC48" s="4">
        <v>11</v>
      </c>
      <c r="AD48" s="4">
        <v>1</v>
      </c>
      <c r="AE48" s="4">
        <v>6</v>
      </c>
      <c r="AF48" s="4" t="s">
        <v>9</v>
      </c>
      <c r="AG48" s="26">
        <f>((ABS(AD48-5)^2)+(ABS(AE48-6)^2))^(1/2)</f>
        <v>4</v>
      </c>
    </row>
    <row r="49" spans="29:33" ht="15.75" customHeight="1" x14ac:dyDescent="0.35">
      <c r="AC49" s="4">
        <v>4</v>
      </c>
      <c r="AD49" s="4">
        <v>4</v>
      </c>
      <c r="AE49" s="4">
        <v>2</v>
      </c>
      <c r="AF49" s="4" t="s">
        <v>9</v>
      </c>
      <c r="AG49" s="26">
        <f>((ABS(AD49-5)^2)+(ABS(AE49-6)^2))^(1/2)</f>
        <v>4.1231056256176606</v>
      </c>
    </row>
    <row r="50" spans="29:33" ht="15.75" customHeight="1" x14ac:dyDescent="0.35">
      <c r="AC50" s="4">
        <v>9</v>
      </c>
      <c r="AD50" s="4">
        <v>9</v>
      </c>
      <c r="AE50" s="4">
        <v>5</v>
      </c>
      <c r="AF50" s="4" t="s">
        <v>9</v>
      </c>
      <c r="AG50" s="26">
        <f>((ABS(AD50-5)^2)+(ABS(AE50-6)^2))^(1/2)</f>
        <v>4.1231056256176606</v>
      </c>
    </row>
    <row r="51" spans="29:33" ht="15.75" customHeight="1" x14ac:dyDescent="0.35">
      <c r="AC51" s="4">
        <v>18</v>
      </c>
      <c r="AD51" s="4">
        <v>8</v>
      </c>
      <c r="AE51" s="4">
        <v>9</v>
      </c>
      <c r="AF51" s="4" t="s">
        <v>7</v>
      </c>
      <c r="AG51" s="26">
        <f>((ABS(AD51-5)^2)+(ABS(AE51-6)^2))^(1/2)</f>
        <v>4.2426406871192848</v>
      </c>
    </row>
    <row r="52" spans="29:33" ht="15.75" customHeight="1" x14ac:dyDescent="0.35">
      <c r="AC52" s="4">
        <v>3</v>
      </c>
      <c r="AD52" s="4">
        <v>3</v>
      </c>
      <c r="AE52" s="4">
        <v>2</v>
      </c>
      <c r="AF52" s="4" t="s">
        <v>7</v>
      </c>
      <c r="AG52" s="26">
        <f>((ABS(AD52-5)^2)+(ABS(AE52-6)^2))^(1/2)</f>
        <v>4.4721359549995796</v>
      </c>
    </row>
    <row r="53" spans="29:33" ht="15.75" customHeight="1" x14ac:dyDescent="0.35">
      <c r="AC53" s="4">
        <v>10</v>
      </c>
      <c r="AD53" s="4">
        <v>10</v>
      </c>
      <c r="AE53" s="4">
        <v>5</v>
      </c>
      <c r="AF53" s="4" t="s">
        <v>7</v>
      </c>
      <c r="AG53" s="26">
        <f>((ABS(AD53-5)^2)+(ABS(AE53-6)^2))^(1/2)</f>
        <v>5.0990195135927845</v>
      </c>
    </row>
    <row r="54" spans="29:33" ht="15.75" customHeight="1" x14ac:dyDescent="0.35">
      <c r="AC54" s="4">
        <v>19</v>
      </c>
      <c r="AD54" s="4">
        <v>9</v>
      </c>
      <c r="AE54" s="4">
        <v>10</v>
      </c>
      <c r="AF54" s="4" t="s">
        <v>9</v>
      </c>
      <c r="AG54" s="26">
        <f>((ABS(AD54-5)^2)+(ABS(AE54-6)^2))^(1/2)</f>
        <v>5.6568542494923806</v>
      </c>
    </row>
    <row r="55" spans="29:33" ht="15.75" customHeight="1" x14ac:dyDescent="0.35">
      <c r="AC55" s="4">
        <v>2</v>
      </c>
      <c r="AD55" s="4">
        <v>2</v>
      </c>
      <c r="AE55" s="4">
        <v>1</v>
      </c>
      <c r="AF55" s="4" t="s">
        <v>7</v>
      </c>
      <c r="AG55" s="26">
        <f>((ABS(AD55-5)^2)+(ABS(AE55-6)^2))^(1/2)</f>
        <v>5.8309518948453007</v>
      </c>
    </row>
    <row r="56" spans="29:33" ht="15.75" customHeight="1" x14ac:dyDescent="0.35">
      <c r="AC56" s="4">
        <v>1</v>
      </c>
      <c r="AD56" s="4">
        <v>1</v>
      </c>
      <c r="AE56" s="4">
        <v>1</v>
      </c>
      <c r="AF56" s="4" t="s">
        <v>7</v>
      </c>
      <c r="AG56" s="26">
        <f>((ABS(AD56-5)^2)+(ABS(AE56-6)^2))^(1/2)</f>
        <v>6.4031242374328485</v>
      </c>
    </row>
    <row r="57" spans="29:33" ht="15.75" customHeight="1" x14ac:dyDescent="0.35">
      <c r="AC57" s="4">
        <v>20</v>
      </c>
      <c r="AD57" s="4">
        <v>10</v>
      </c>
      <c r="AE57" s="4">
        <v>10</v>
      </c>
      <c r="AF57" s="4" t="s">
        <v>7</v>
      </c>
      <c r="AG57" s="26">
        <f>((ABS(AD57-5)^2)+(ABS(AE57-6)^2))^(1/2)</f>
        <v>6.4031242374328485</v>
      </c>
    </row>
    <row r="58" spans="29:33" ht="15.75" customHeight="1" x14ac:dyDescent="0.35"/>
    <row r="59" spans="29:33" ht="15.75" customHeight="1" x14ac:dyDescent="0.35"/>
    <row r="60" spans="29:33" ht="15.75" customHeight="1" x14ac:dyDescent="0.35"/>
    <row r="61" spans="29:33" ht="15.75" customHeight="1" x14ac:dyDescent="0.35"/>
    <row r="62" spans="29:33" ht="15.75" customHeight="1" x14ac:dyDescent="0.35"/>
    <row r="63" spans="29:33" ht="15.75" customHeight="1" x14ac:dyDescent="0.35"/>
    <row r="64" spans="29:33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ortState xmlns:xlrd2="http://schemas.microsoft.com/office/spreadsheetml/2017/richdata2" ref="AC38:AI57">
    <sortCondition ref="AG38:AG57"/>
  </sortState>
  <mergeCells count="8">
    <mergeCell ref="J3:M5"/>
    <mergeCell ref="AC34:AF35"/>
    <mergeCell ref="P7:S8"/>
    <mergeCell ref="H9:I9"/>
    <mergeCell ref="AC9:AF9"/>
    <mergeCell ref="H10:N11"/>
    <mergeCell ref="V21:AA23"/>
    <mergeCell ref="H13:L14"/>
  </mergeCells>
  <pageMargins left="0.7" right="0.7" top="0.75" bottom="0.75" header="0" footer="0"/>
  <pageSetup scale="48" orientation="portrait" r:id="rId1"/>
  <colBreaks count="2" manualBreakCount="2">
    <brk id="14" max="1048575" man="1"/>
    <brk id="2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5EE6D-8F20-4D09-889F-7428266982CC}">
  <dimension ref="C2:AL1000"/>
  <sheetViews>
    <sheetView workbookViewId="0">
      <selection activeCell="AG33" sqref="AG33"/>
    </sheetView>
  </sheetViews>
  <sheetFormatPr defaultColWidth="14.453125" defaultRowHeight="15" customHeight="1" x14ac:dyDescent="0.35"/>
  <cols>
    <col min="1" max="11" width="8.7265625" customWidth="1"/>
    <col min="12" max="13" width="14.08984375" customWidth="1"/>
    <col min="14" max="19" width="8.7265625" customWidth="1"/>
    <col min="20" max="20" width="14.08984375" customWidth="1"/>
    <col min="21" max="21" width="5.7265625" customWidth="1"/>
    <col min="22" max="32" width="8.7265625" customWidth="1"/>
    <col min="33" max="36" width="13.1796875" customWidth="1"/>
    <col min="37" max="42" width="8.7265625" customWidth="1"/>
  </cols>
  <sheetData>
    <row r="2" spans="3:38" ht="46" x14ac:dyDescent="1">
      <c r="J2" s="18" t="s">
        <v>0</v>
      </c>
    </row>
    <row r="4" spans="3:38" ht="14.5" x14ac:dyDescent="0.35">
      <c r="C4" s="1" t="s">
        <v>1</v>
      </c>
    </row>
    <row r="5" spans="3:38" ht="29" x14ac:dyDescent="0.35">
      <c r="C5" s="2" t="s">
        <v>2</v>
      </c>
      <c r="D5" s="2" t="s">
        <v>3</v>
      </c>
      <c r="E5" s="2" t="s">
        <v>4</v>
      </c>
      <c r="F5" s="2" t="s">
        <v>5</v>
      </c>
      <c r="H5" s="3" t="s">
        <v>6</v>
      </c>
      <c r="L5" s="10"/>
      <c r="M5" s="10"/>
    </row>
    <row r="6" spans="3:38" ht="14.5" x14ac:dyDescent="0.35">
      <c r="C6" s="4">
        <v>1</v>
      </c>
      <c r="D6" s="4">
        <v>1</v>
      </c>
      <c r="E6" s="4">
        <v>1</v>
      </c>
      <c r="F6" s="4" t="s">
        <v>7</v>
      </c>
      <c r="H6" s="5" t="s">
        <v>15</v>
      </c>
    </row>
    <row r="7" spans="3:38" ht="14.5" x14ac:dyDescent="0.35">
      <c r="C7" s="4">
        <v>2</v>
      </c>
      <c r="D7" s="4">
        <v>2</v>
      </c>
      <c r="E7" s="4">
        <v>1</v>
      </c>
      <c r="F7" s="4" t="s">
        <v>7</v>
      </c>
      <c r="H7" s="5" t="s">
        <v>8</v>
      </c>
      <c r="P7" s="30" t="s">
        <v>18</v>
      </c>
      <c r="Q7" s="30"/>
      <c r="R7" s="30"/>
      <c r="S7" s="30"/>
    </row>
    <row r="8" spans="3:38" ht="14.5" x14ac:dyDescent="0.35">
      <c r="C8" s="4">
        <v>3</v>
      </c>
      <c r="D8" s="4">
        <v>3</v>
      </c>
      <c r="E8" s="4">
        <v>2</v>
      </c>
      <c r="F8" s="4" t="s">
        <v>7</v>
      </c>
      <c r="P8" s="30"/>
      <c r="Q8" s="30"/>
      <c r="R8" s="30"/>
      <c r="S8" s="30"/>
    </row>
    <row r="9" spans="3:38" ht="15" customHeight="1" x14ac:dyDescent="0.35">
      <c r="C9" s="4">
        <v>4</v>
      </c>
      <c r="D9" s="4">
        <v>4</v>
      </c>
      <c r="E9" s="4">
        <v>2</v>
      </c>
      <c r="F9" s="4" t="s">
        <v>9</v>
      </c>
      <c r="H9" s="31" t="s">
        <v>10</v>
      </c>
      <c r="I9" s="29"/>
      <c r="P9" s="16" t="s">
        <v>12</v>
      </c>
      <c r="AC9" s="31" t="s">
        <v>11</v>
      </c>
      <c r="AD9" s="29"/>
      <c r="AE9" s="29"/>
      <c r="AF9" s="29"/>
    </row>
    <row r="10" spans="3:38" ht="14.5" x14ac:dyDescent="0.35">
      <c r="C10" s="4">
        <v>5</v>
      </c>
      <c r="D10" s="4">
        <v>5</v>
      </c>
      <c r="E10" s="4">
        <v>3</v>
      </c>
      <c r="F10" s="4" t="s">
        <v>9</v>
      </c>
      <c r="H10" s="32" t="s">
        <v>17</v>
      </c>
      <c r="I10" s="29"/>
      <c r="J10" s="29"/>
      <c r="K10" s="29"/>
      <c r="L10" s="29"/>
      <c r="M10" s="29"/>
      <c r="N10" s="29"/>
      <c r="P10" t="s">
        <v>19</v>
      </c>
    </row>
    <row r="11" spans="3:38" ht="14.5" x14ac:dyDescent="0.35">
      <c r="C11" s="4">
        <v>6</v>
      </c>
      <c r="D11" s="4">
        <v>6</v>
      </c>
      <c r="E11" s="4">
        <v>3</v>
      </c>
      <c r="F11" s="4" t="s">
        <v>9</v>
      </c>
      <c r="H11" s="29"/>
      <c r="I11" s="29"/>
      <c r="J11" s="29"/>
      <c r="K11" s="29"/>
      <c r="L11" s="29"/>
      <c r="M11" s="29"/>
      <c r="N11" s="29"/>
      <c r="P11" s="34" t="s">
        <v>27</v>
      </c>
      <c r="AC11" s="2" t="s">
        <v>2</v>
      </c>
      <c r="AD11" s="2" t="s">
        <v>3</v>
      </c>
      <c r="AE11" s="2" t="s">
        <v>4</v>
      </c>
      <c r="AF11" s="21" t="s">
        <v>5</v>
      </c>
      <c r="AG11" s="24" t="s">
        <v>21</v>
      </c>
      <c r="AH11" s="24" t="s">
        <v>22</v>
      </c>
      <c r="AI11" s="24" t="s">
        <v>23</v>
      </c>
      <c r="AJ11" s="24" t="s">
        <v>24</v>
      </c>
    </row>
    <row r="12" spans="3:38" ht="14.5" x14ac:dyDescent="0.35">
      <c r="C12" s="4">
        <v>7</v>
      </c>
      <c r="D12" s="4">
        <v>7</v>
      </c>
      <c r="E12" s="4">
        <v>4</v>
      </c>
      <c r="F12" s="4" t="s">
        <v>7</v>
      </c>
      <c r="H12" s="7"/>
      <c r="P12" s="34" t="s">
        <v>20</v>
      </c>
      <c r="AC12" s="4">
        <v>1</v>
      </c>
      <c r="AD12" s="4">
        <v>1</v>
      </c>
      <c r="AE12" s="4">
        <v>1</v>
      </c>
      <c r="AF12" s="22" t="s">
        <v>7</v>
      </c>
      <c r="AG12" s="23">
        <f>IF($AF12="A",$AD12,"")</f>
        <v>1</v>
      </c>
      <c r="AH12" s="23">
        <f>IF($AF12="A",$AE12,"")</f>
        <v>1</v>
      </c>
      <c r="AI12" s="23" t="str">
        <f>IF($AF12="B",$AD12,"")</f>
        <v/>
      </c>
      <c r="AJ12" s="23" t="str">
        <f>IF($AF12="B",$AE12,"")</f>
        <v/>
      </c>
      <c r="AK12">
        <v>6</v>
      </c>
      <c r="AL12">
        <v>5</v>
      </c>
    </row>
    <row r="13" spans="3:38" ht="14.5" x14ac:dyDescent="0.35">
      <c r="C13" s="4">
        <v>8</v>
      </c>
      <c r="D13" s="4">
        <v>8</v>
      </c>
      <c r="E13" s="4">
        <v>4</v>
      </c>
      <c r="F13" s="4" t="s">
        <v>7</v>
      </c>
      <c r="P13" s="34" t="s">
        <v>28</v>
      </c>
      <c r="AC13" s="4">
        <v>2</v>
      </c>
      <c r="AD13" s="4">
        <v>2</v>
      </c>
      <c r="AE13" s="4">
        <v>1</v>
      </c>
      <c r="AF13" s="22" t="s">
        <v>7</v>
      </c>
      <c r="AG13" s="23">
        <f t="shared" ref="AG13:AG31" si="0">IF($AF13="A",$AD13,"")</f>
        <v>2</v>
      </c>
      <c r="AH13" s="23">
        <f t="shared" ref="AH13:AH31" si="1">IF($AF13="A",$AE13,"")</f>
        <v>1</v>
      </c>
      <c r="AI13" s="23" t="str">
        <f t="shared" ref="AI13:AI31" si="2">IF($AF13="B",$AD13,"")</f>
        <v/>
      </c>
      <c r="AJ13" s="23" t="str">
        <f t="shared" ref="AJ13:AJ31" si="3">IF($AF13="B",$AE13,"")</f>
        <v/>
      </c>
      <c r="AK13">
        <v>6</v>
      </c>
      <c r="AL13">
        <v>5</v>
      </c>
    </row>
    <row r="14" spans="3:38" ht="14.5" x14ac:dyDescent="0.35">
      <c r="C14" s="4">
        <v>9</v>
      </c>
      <c r="D14" s="4">
        <v>9</v>
      </c>
      <c r="E14" s="4">
        <v>5</v>
      </c>
      <c r="F14" s="4" t="s">
        <v>9</v>
      </c>
      <c r="L14" s="10"/>
      <c r="P14" s="34" t="s">
        <v>29</v>
      </c>
      <c r="AC14" s="4">
        <v>3</v>
      </c>
      <c r="AD14" s="4">
        <v>3</v>
      </c>
      <c r="AE14" s="4">
        <v>2</v>
      </c>
      <c r="AF14" s="22" t="s">
        <v>7</v>
      </c>
      <c r="AG14" s="23">
        <f t="shared" si="0"/>
        <v>3</v>
      </c>
      <c r="AH14" s="23">
        <f t="shared" si="1"/>
        <v>2</v>
      </c>
      <c r="AI14" s="23" t="str">
        <f t="shared" si="2"/>
        <v/>
      </c>
      <c r="AJ14" s="23" t="str">
        <f t="shared" si="3"/>
        <v/>
      </c>
      <c r="AK14">
        <v>6</v>
      </c>
      <c r="AL14">
        <v>5</v>
      </c>
    </row>
    <row r="15" spans="3:38" ht="14.5" x14ac:dyDescent="0.35">
      <c r="C15" s="4">
        <v>10</v>
      </c>
      <c r="D15" s="4">
        <v>10</v>
      </c>
      <c r="E15" s="4">
        <v>5</v>
      </c>
      <c r="F15" s="4" t="s">
        <v>7</v>
      </c>
      <c r="P15" s="34" t="s">
        <v>30</v>
      </c>
      <c r="AC15" s="4">
        <v>4</v>
      </c>
      <c r="AD15" s="4">
        <v>4</v>
      </c>
      <c r="AE15" s="4">
        <v>2</v>
      </c>
      <c r="AF15" s="22" t="s">
        <v>9</v>
      </c>
      <c r="AG15" s="23" t="str">
        <f t="shared" si="0"/>
        <v/>
      </c>
      <c r="AH15" s="23" t="str">
        <f t="shared" si="1"/>
        <v/>
      </c>
      <c r="AI15" s="23">
        <f t="shared" si="2"/>
        <v>4</v>
      </c>
      <c r="AJ15" s="23">
        <f t="shared" si="3"/>
        <v>2</v>
      </c>
      <c r="AK15">
        <v>6</v>
      </c>
      <c r="AL15">
        <v>5</v>
      </c>
    </row>
    <row r="16" spans="3:38" ht="19.5" customHeight="1" x14ac:dyDescent="0.35">
      <c r="C16" s="4">
        <v>11</v>
      </c>
      <c r="D16" s="4">
        <v>1</v>
      </c>
      <c r="E16" s="4">
        <v>6</v>
      </c>
      <c r="F16" s="4" t="s">
        <v>9</v>
      </c>
      <c r="AC16" s="4">
        <v>5</v>
      </c>
      <c r="AD16" s="4">
        <v>5</v>
      </c>
      <c r="AE16" s="4">
        <v>3</v>
      </c>
      <c r="AF16" s="22" t="s">
        <v>9</v>
      </c>
      <c r="AG16" s="23" t="str">
        <f t="shared" si="0"/>
        <v/>
      </c>
      <c r="AH16" s="23" t="str">
        <f t="shared" si="1"/>
        <v/>
      </c>
      <c r="AI16" s="23">
        <f t="shared" si="2"/>
        <v>5</v>
      </c>
      <c r="AJ16" s="23">
        <f t="shared" si="3"/>
        <v>3</v>
      </c>
      <c r="AK16">
        <v>6</v>
      </c>
      <c r="AL16">
        <v>5</v>
      </c>
    </row>
    <row r="17" spans="3:38" ht="14.5" x14ac:dyDescent="0.35">
      <c r="C17" s="4">
        <v>12</v>
      </c>
      <c r="D17" s="4">
        <v>2</v>
      </c>
      <c r="E17" s="4">
        <v>6</v>
      </c>
      <c r="F17" s="4" t="s">
        <v>9</v>
      </c>
      <c r="H17" s="2" t="s">
        <v>2</v>
      </c>
      <c r="I17" s="2" t="s">
        <v>3</v>
      </c>
      <c r="J17" s="2" t="s">
        <v>4</v>
      </c>
      <c r="K17" s="2" t="s">
        <v>5</v>
      </c>
      <c r="L17" s="2" t="s">
        <v>16</v>
      </c>
      <c r="M17" s="11"/>
      <c r="P17" s="2" t="s">
        <v>2</v>
      </c>
      <c r="Q17" s="2" t="s">
        <v>3</v>
      </c>
      <c r="R17" s="2" t="s">
        <v>4</v>
      </c>
      <c r="S17" s="2" t="s">
        <v>5</v>
      </c>
      <c r="T17" s="2" t="s">
        <v>16</v>
      </c>
      <c r="U17" s="11"/>
      <c r="AC17" s="4">
        <v>6</v>
      </c>
      <c r="AD17" s="4">
        <v>6</v>
      </c>
      <c r="AE17" s="4">
        <v>3</v>
      </c>
      <c r="AF17" s="22" t="s">
        <v>9</v>
      </c>
      <c r="AG17" s="23" t="str">
        <f t="shared" si="0"/>
        <v/>
      </c>
      <c r="AH17" s="23" t="str">
        <f t="shared" si="1"/>
        <v/>
      </c>
      <c r="AI17" s="23">
        <f t="shared" si="2"/>
        <v>6</v>
      </c>
      <c r="AJ17" s="23">
        <f t="shared" si="3"/>
        <v>3</v>
      </c>
      <c r="AK17">
        <v>6</v>
      </c>
      <c r="AL17">
        <v>5</v>
      </c>
    </row>
    <row r="18" spans="3:38" ht="14.5" x14ac:dyDescent="0.35">
      <c r="C18" s="4">
        <v>13</v>
      </c>
      <c r="D18" s="4">
        <v>3</v>
      </c>
      <c r="E18" s="4">
        <v>7</v>
      </c>
      <c r="F18" s="4" t="s">
        <v>7</v>
      </c>
      <c r="H18" s="4">
        <v>7</v>
      </c>
      <c r="I18" s="4">
        <v>7</v>
      </c>
      <c r="J18" s="4">
        <v>4</v>
      </c>
      <c r="K18" s="4" t="s">
        <v>7</v>
      </c>
      <c r="L18" s="8">
        <f>((ABS(I18-6)^2)+ABS((J18-5)^2))^(1/2)</f>
        <v>1.4142135623730951</v>
      </c>
      <c r="M18" s="12"/>
      <c r="P18" s="15">
        <v>7</v>
      </c>
      <c r="Q18" s="15">
        <v>7</v>
      </c>
      <c r="R18" s="15">
        <v>4</v>
      </c>
      <c r="S18" s="15" t="s">
        <v>7</v>
      </c>
      <c r="T18" s="9">
        <f>((ABS(Q18-6)^2)+(ABS(R18-5)^2))^(1/2)</f>
        <v>1.4142135623730951</v>
      </c>
      <c r="U18" s="13"/>
      <c r="AC18" s="4">
        <v>7</v>
      </c>
      <c r="AD18" s="4">
        <v>7</v>
      </c>
      <c r="AE18" s="4">
        <v>4</v>
      </c>
      <c r="AF18" s="22" t="s">
        <v>7</v>
      </c>
      <c r="AG18" s="23">
        <f t="shared" si="0"/>
        <v>7</v>
      </c>
      <c r="AH18" s="23">
        <f t="shared" si="1"/>
        <v>4</v>
      </c>
      <c r="AI18" s="23" t="str">
        <f t="shared" si="2"/>
        <v/>
      </c>
      <c r="AJ18" s="23" t="str">
        <f t="shared" si="3"/>
        <v/>
      </c>
      <c r="AK18">
        <v>6</v>
      </c>
      <c r="AL18">
        <v>5</v>
      </c>
    </row>
    <row r="19" spans="3:38" ht="14.5" x14ac:dyDescent="0.35">
      <c r="C19" s="4">
        <v>14</v>
      </c>
      <c r="D19" s="4">
        <v>4</v>
      </c>
      <c r="E19" s="4">
        <v>7</v>
      </c>
      <c r="F19" s="4" t="s">
        <v>7</v>
      </c>
      <c r="H19" s="4">
        <v>6</v>
      </c>
      <c r="I19" s="4">
        <v>6</v>
      </c>
      <c r="J19" s="4">
        <v>3</v>
      </c>
      <c r="K19" s="4" t="s">
        <v>9</v>
      </c>
      <c r="L19" s="8">
        <f>((ABS(I19-6)^2)+ABS((J19-5)^2))^(1/2)</f>
        <v>2</v>
      </c>
      <c r="M19" s="12"/>
      <c r="P19" s="15">
        <v>6</v>
      </c>
      <c r="Q19" s="15">
        <v>6</v>
      </c>
      <c r="R19" s="15">
        <v>3</v>
      </c>
      <c r="S19" s="15" t="s">
        <v>9</v>
      </c>
      <c r="T19" s="9">
        <f>((ABS(Q19-6)^2)+(ABS(R19-5)^2))^(1/2)</f>
        <v>2</v>
      </c>
      <c r="U19" s="13"/>
      <c r="AC19" s="4">
        <v>8</v>
      </c>
      <c r="AD19" s="4">
        <v>8</v>
      </c>
      <c r="AE19" s="4">
        <v>4</v>
      </c>
      <c r="AF19" s="22" t="s">
        <v>7</v>
      </c>
      <c r="AG19" s="23">
        <f t="shared" si="0"/>
        <v>8</v>
      </c>
      <c r="AH19" s="23">
        <f t="shared" si="1"/>
        <v>4</v>
      </c>
      <c r="AI19" s="23" t="str">
        <f t="shared" si="2"/>
        <v/>
      </c>
      <c r="AJ19" s="23" t="str">
        <f t="shared" si="3"/>
        <v/>
      </c>
      <c r="AK19">
        <v>6</v>
      </c>
      <c r="AL19">
        <v>5</v>
      </c>
    </row>
    <row r="20" spans="3:38" ht="14.5" x14ac:dyDescent="0.35">
      <c r="C20" s="4">
        <v>15</v>
      </c>
      <c r="D20" s="4">
        <v>5</v>
      </c>
      <c r="E20" s="4">
        <v>8</v>
      </c>
      <c r="F20" s="4" t="s">
        <v>9</v>
      </c>
      <c r="H20" s="4">
        <v>5</v>
      </c>
      <c r="I20" s="4">
        <v>5</v>
      </c>
      <c r="J20" s="4">
        <v>3</v>
      </c>
      <c r="K20" s="4" t="s">
        <v>9</v>
      </c>
      <c r="L20" s="8">
        <f>((ABS(I20-6)^2)+ABS((J20-5)^2))^(1/2)</f>
        <v>2.2360679774997898</v>
      </c>
      <c r="M20" s="12"/>
      <c r="P20" s="15">
        <v>5</v>
      </c>
      <c r="Q20" s="15">
        <v>5</v>
      </c>
      <c r="R20" s="15">
        <v>3</v>
      </c>
      <c r="S20" s="15" t="s">
        <v>9</v>
      </c>
      <c r="T20" s="9">
        <f>((ABS(Q20-6)^2)+(ABS(R20-5)^2))^(1/2)</f>
        <v>2.2360679774997898</v>
      </c>
      <c r="U20" s="13"/>
      <c r="V20" s="34" t="s">
        <v>31</v>
      </c>
      <c r="AC20" s="4">
        <v>9</v>
      </c>
      <c r="AD20" s="4">
        <v>9</v>
      </c>
      <c r="AE20" s="4">
        <v>5</v>
      </c>
      <c r="AF20" s="22" t="s">
        <v>9</v>
      </c>
      <c r="AG20" s="23" t="str">
        <f t="shared" si="0"/>
        <v/>
      </c>
      <c r="AH20" s="23" t="str">
        <f t="shared" si="1"/>
        <v/>
      </c>
      <c r="AI20" s="23">
        <f t="shared" si="2"/>
        <v>9</v>
      </c>
      <c r="AJ20" s="23">
        <f t="shared" si="3"/>
        <v>5</v>
      </c>
      <c r="AK20">
        <v>6</v>
      </c>
      <c r="AL20">
        <v>5</v>
      </c>
    </row>
    <row r="21" spans="3:38" ht="15.75" customHeight="1" x14ac:dyDescent="0.35">
      <c r="C21" s="4">
        <v>16</v>
      </c>
      <c r="D21" s="4">
        <v>6</v>
      </c>
      <c r="E21" s="4">
        <v>8</v>
      </c>
      <c r="F21" s="4" t="s">
        <v>9</v>
      </c>
      <c r="H21" s="4">
        <v>8</v>
      </c>
      <c r="I21" s="4">
        <v>8</v>
      </c>
      <c r="J21" s="4">
        <v>4</v>
      </c>
      <c r="K21" s="4" t="s">
        <v>7</v>
      </c>
      <c r="L21" s="8">
        <f>((ABS(I21-6)^2)+ABS((J21-5)^2))^(1/2)</f>
        <v>2.2360679774997898</v>
      </c>
      <c r="M21" s="12"/>
      <c r="P21" s="15">
        <v>8</v>
      </c>
      <c r="Q21" s="15">
        <v>8</v>
      </c>
      <c r="R21" s="15">
        <v>4</v>
      </c>
      <c r="S21" s="15" t="s">
        <v>7</v>
      </c>
      <c r="T21" s="9">
        <f>((ABS(Q21-6)^2)+(ABS(R21-5)^2))^(1/2)</f>
        <v>2.2360679774997898</v>
      </c>
      <c r="U21" s="12"/>
      <c r="V21" s="33" t="s">
        <v>32</v>
      </c>
      <c r="W21" s="33"/>
      <c r="X21" s="33"/>
      <c r="Y21" s="33"/>
      <c r="Z21" s="33"/>
      <c r="AA21" s="33"/>
      <c r="AC21" s="4">
        <v>10</v>
      </c>
      <c r="AD21" s="4">
        <v>10</v>
      </c>
      <c r="AE21" s="4">
        <v>5</v>
      </c>
      <c r="AF21" s="22" t="s">
        <v>7</v>
      </c>
      <c r="AG21" s="23">
        <f t="shared" si="0"/>
        <v>10</v>
      </c>
      <c r="AH21" s="23">
        <f t="shared" si="1"/>
        <v>5</v>
      </c>
      <c r="AI21" s="23" t="str">
        <f t="shared" si="2"/>
        <v/>
      </c>
      <c r="AJ21" s="23" t="str">
        <f t="shared" si="3"/>
        <v/>
      </c>
      <c r="AK21">
        <v>6</v>
      </c>
      <c r="AL21">
        <v>5</v>
      </c>
    </row>
    <row r="22" spans="3:38" ht="15.75" customHeight="1" x14ac:dyDescent="0.35">
      <c r="C22" s="4">
        <v>17</v>
      </c>
      <c r="D22" s="4">
        <v>7</v>
      </c>
      <c r="E22" s="4">
        <v>9</v>
      </c>
      <c r="F22" s="4" t="s">
        <v>7</v>
      </c>
      <c r="H22" s="4">
        <v>14</v>
      </c>
      <c r="I22" s="4">
        <v>4</v>
      </c>
      <c r="J22" s="4">
        <v>7</v>
      </c>
      <c r="K22" s="4" t="s">
        <v>7</v>
      </c>
      <c r="L22" s="8">
        <f>((ABS(I22-6)^2)+ABS((J22-5)^2))^(1/2)</f>
        <v>2.8284271247461903</v>
      </c>
      <c r="M22" s="12"/>
      <c r="P22" s="15">
        <v>14</v>
      </c>
      <c r="Q22" s="15">
        <v>4</v>
      </c>
      <c r="R22" s="15">
        <v>7</v>
      </c>
      <c r="S22" s="15" t="s">
        <v>7</v>
      </c>
      <c r="T22" s="9">
        <f>((ABS(Q22-6)^2)+(ABS(R22-5)^2))^(1/2)</f>
        <v>2.8284271247461903</v>
      </c>
      <c r="U22" s="12"/>
      <c r="V22" s="33"/>
      <c r="W22" s="33"/>
      <c r="X22" s="33"/>
      <c r="Y22" s="33"/>
      <c r="Z22" s="33"/>
      <c r="AA22" s="33"/>
      <c r="AC22" s="4">
        <v>11</v>
      </c>
      <c r="AD22" s="4">
        <v>1</v>
      </c>
      <c r="AE22" s="4">
        <v>6</v>
      </c>
      <c r="AF22" s="22" t="s">
        <v>9</v>
      </c>
      <c r="AG22" s="23" t="str">
        <f t="shared" si="0"/>
        <v/>
      </c>
      <c r="AH22" s="23" t="str">
        <f t="shared" si="1"/>
        <v/>
      </c>
      <c r="AI22" s="23">
        <f t="shared" si="2"/>
        <v>1</v>
      </c>
      <c r="AJ22" s="23">
        <f t="shared" si="3"/>
        <v>6</v>
      </c>
      <c r="AK22">
        <v>6</v>
      </c>
      <c r="AL22">
        <v>5</v>
      </c>
    </row>
    <row r="23" spans="3:38" ht="15.75" customHeight="1" x14ac:dyDescent="0.35">
      <c r="C23" s="4">
        <v>18</v>
      </c>
      <c r="D23" s="4">
        <v>8</v>
      </c>
      <c r="E23" s="4">
        <v>9</v>
      </c>
      <c r="F23" s="4" t="s">
        <v>7</v>
      </c>
      <c r="H23" s="4">
        <v>9</v>
      </c>
      <c r="I23" s="4">
        <v>9</v>
      </c>
      <c r="J23" s="4">
        <v>5</v>
      </c>
      <c r="K23" s="4" t="s">
        <v>9</v>
      </c>
      <c r="L23" s="8">
        <f>((ABS(I23-6)^2)+ABS((J23-5)^2))^(1/2)</f>
        <v>3</v>
      </c>
      <c r="M23" s="12"/>
      <c r="P23" s="14">
        <v>16</v>
      </c>
      <c r="Q23" s="14">
        <v>6</v>
      </c>
      <c r="R23" s="14">
        <v>8</v>
      </c>
      <c r="S23" s="14" t="s">
        <v>9</v>
      </c>
      <c r="T23" s="9">
        <f>((ABS(Q23-6)^2)+(ABS(R23-5)^2))^(1/2)</f>
        <v>3</v>
      </c>
      <c r="U23" s="12"/>
      <c r="V23" s="33"/>
      <c r="W23" s="33"/>
      <c r="X23" s="33"/>
      <c r="Y23" s="33"/>
      <c r="Z23" s="33"/>
      <c r="AA23" s="33"/>
      <c r="AC23" s="4">
        <v>12</v>
      </c>
      <c r="AD23" s="4">
        <v>2</v>
      </c>
      <c r="AE23" s="4">
        <v>6</v>
      </c>
      <c r="AF23" s="22" t="s">
        <v>9</v>
      </c>
      <c r="AG23" s="23" t="str">
        <f t="shared" si="0"/>
        <v/>
      </c>
      <c r="AH23" s="23" t="str">
        <f t="shared" si="1"/>
        <v/>
      </c>
      <c r="AI23" s="23">
        <f t="shared" si="2"/>
        <v>2</v>
      </c>
      <c r="AJ23" s="23">
        <f t="shared" si="3"/>
        <v>6</v>
      </c>
      <c r="AK23">
        <v>6</v>
      </c>
      <c r="AL23">
        <v>5</v>
      </c>
    </row>
    <row r="24" spans="3:38" ht="15.75" customHeight="1" x14ac:dyDescent="0.35">
      <c r="C24" s="4">
        <v>19</v>
      </c>
      <c r="D24" s="4">
        <v>9</v>
      </c>
      <c r="E24" s="4">
        <v>10</v>
      </c>
      <c r="F24" s="4" t="s">
        <v>9</v>
      </c>
      <c r="H24" s="4">
        <v>16</v>
      </c>
      <c r="I24" s="4">
        <v>6</v>
      </c>
      <c r="J24" s="4">
        <v>8</v>
      </c>
      <c r="K24" s="4" t="s">
        <v>9</v>
      </c>
      <c r="L24" s="8">
        <f>((ABS(I24-6)^2)+ABS((J24-5)^2))^(1/2)</f>
        <v>3</v>
      </c>
      <c r="M24" s="12"/>
      <c r="P24" s="14">
        <v>9</v>
      </c>
      <c r="Q24" s="14">
        <v>9</v>
      </c>
      <c r="R24" s="14">
        <v>5</v>
      </c>
      <c r="S24" s="14" t="s">
        <v>9</v>
      </c>
      <c r="T24" s="9">
        <f>((ABS(Q24-6)^2)+(ABS(R24-5)^2))^(1/2)</f>
        <v>3</v>
      </c>
      <c r="U24" s="12"/>
      <c r="AC24" s="4">
        <v>13</v>
      </c>
      <c r="AD24" s="4">
        <v>3</v>
      </c>
      <c r="AE24" s="4">
        <v>7</v>
      </c>
      <c r="AF24" s="22" t="s">
        <v>7</v>
      </c>
      <c r="AG24" s="23">
        <f t="shared" si="0"/>
        <v>3</v>
      </c>
      <c r="AH24" s="23">
        <f t="shared" si="1"/>
        <v>7</v>
      </c>
      <c r="AI24" s="23" t="str">
        <f t="shared" si="2"/>
        <v/>
      </c>
      <c r="AJ24" s="23" t="str">
        <f t="shared" si="3"/>
        <v/>
      </c>
      <c r="AK24">
        <v>6</v>
      </c>
      <c r="AL24">
        <v>5</v>
      </c>
    </row>
    <row r="25" spans="3:38" ht="15.75" customHeight="1" x14ac:dyDescent="0.35">
      <c r="C25" s="4">
        <v>20</v>
      </c>
      <c r="D25" s="4">
        <v>10</v>
      </c>
      <c r="E25" s="4">
        <v>10</v>
      </c>
      <c r="F25" s="4" t="s">
        <v>7</v>
      </c>
      <c r="H25" s="4">
        <v>15</v>
      </c>
      <c r="I25" s="4">
        <v>5</v>
      </c>
      <c r="J25" s="4">
        <v>8</v>
      </c>
      <c r="K25" s="4" t="s">
        <v>9</v>
      </c>
      <c r="L25" s="8">
        <f>((ABS(I25-6)^2)+ABS((J25-5)^2))^(1/2)</f>
        <v>3.1622776601683795</v>
      </c>
      <c r="M25" s="12"/>
      <c r="P25" s="14">
        <v>15</v>
      </c>
      <c r="Q25" s="14">
        <v>5</v>
      </c>
      <c r="R25" s="14">
        <v>8</v>
      </c>
      <c r="S25" s="14" t="s">
        <v>9</v>
      </c>
      <c r="T25" s="9">
        <f>((ABS(Q25-6)^2)+(ABS(R25-5)^2))^(1/2)</f>
        <v>3.1622776601683795</v>
      </c>
      <c r="U25" s="12"/>
      <c r="W25" s="17"/>
      <c r="AC25" s="4">
        <v>14</v>
      </c>
      <c r="AD25" s="4">
        <v>4</v>
      </c>
      <c r="AE25" s="4">
        <v>7</v>
      </c>
      <c r="AF25" s="22" t="s">
        <v>7</v>
      </c>
      <c r="AG25" s="23">
        <f t="shared" si="0"/>
        <v>4</v>
      </c>
      <c r="AH25" s="23">
        <f t="shared" si="1"/>
        <v>7</v>
      </c>
      <c r="AI25" s="23" t="str">
        <f t="shared" si="2"/>
        <v/>
      </c>
      <c r="AJ25" s="23" t="str">
        <f t="shared" si="3"/>
        <v/>
      </c>
      <c r="AK25">
        <v>6</v>
      </c>
      <c r="AL25">
        <v>5</v>
      </c>
    </row>
    <row r="26" spans="3:38" ht="15" customHeight="1" x14ac:dyDescent="0.35">
      <c r="C26" s="6">
        <v>21</v>
      </c>
      <c r="D26" s="6">
        <v>4</v>
      </c>
      <c r="E26" s="6">
        <v>5</v>
      </c>
      <c r="F26" s="6" t="s">
        <v>13</v>
      </c>
      <c r="H26" s="4">
        <v>4</v>
      </c>
      <c r="I26" s="4">
        <v>4</v>
      </c>
      <c r="J26" s="4">
        <v>2</v>
      </c>
      <c r="K26" s="4" t="s">
        <v>9</v>
      </c>
      <c r="L26" s="8">
        <f>((ABS(I26-6)^2)+ABS((J26-5)^2))^(1/2)</f>
        <v>3.6055512754639891</v>
      </c>
      <c r="M26" s="12"/>
      <c r="P26" s="14">
        <v>13</v>
      </c>
      <c r="Q26" s="14">
        <v>3</v>
      </c>
      <c r="R26" s="14">
        <v>7</v>
      </c>
      <c r="S26" s="14" t="s">
        <v>7</v>
      </c>
      <c r="T26" s="9">
        <f>((ABS(Q26-6)^2)+(ABS(R26-5)^2))^(1/2)</f>
        <v>3.6055512754639891</v>
      </c>
      <c r="U26" s="12"/>
      <c r="W26" s="19"/>
      <c r="X26" s="19"/>
      <c r="Y26" s="19"/>
      <c r="Z26" s="19"/>
      <c r="AA26" s="19"/>
      <c r="AB26" s="20"/>
      <c r="AC26" s="4">
        <v>15</v>
      </c>
      <c r="AD26" s="4">
        <v>5</v>
      </c>
      <c r="AE26" s="4">
        <v>8</v>
      </c>
      <c r="AF26" s="22" t="s">
        <v>9</v>
      </c>
      <c r="AG26" s="23" t="str">
        <f t="shared" si="0"/>
        <v/>
      </c>
      <c r="AH26" s="23" t="str">
        <f t="shared" si="1"/>
        <v/>
      </c>
      <c r="AI26" s="23">
        <f t="shared" si="2"/>
        <v>5</v>
      </c>
      <c r="AJ26" s="23">
        <f t="shared" si="3"/>
        <v>8</v>
      </c>
      <c r="AK26">
        <v>6</v>
      </c>
      <c r="AL26">
        <v>5</v>
      </c>
    </row>
    <row r="27" spans="3:38" ht="15.75" customHeight="1" x14ac:dyDescent="0.35">
      <c r="H27" s="4">
        <v>13</v>
      </c>
      <c r="I27" s="4">
        <v>3</v>
      </c>
      <c r="J27" s="4">
        <v>7</v>
      </c>
      <c r="K27" s="4" t="s">
        <v>7</v>
      </c>
      <c r="L27" s="8">
        <f>((ABS(I27-6)^2)+ABS((J27-5)^2))^(1/2)</f>
        <v>3.6055512754639891</v>
      </c>
      <c r="M27" s="12"/>
      <c r="P27" s="14">
        <v>4</v>
      </c>
      <c r="Q27" s="14">
        <v>4</v>
      </c>
      <c r="R27" s="14">
        <v>2</v>
      </c>
      <c r="S27" s="14" t="s">
        <v>9</v>
      </c>
      <c r="T27" s="9">
        <f>((ABS(Q27-6)^2)+(ABS(R27-5)^2))^(1/2)</f>
        <v>3.6055512754639891</v>
      </c>
      <c r="U27" s="12"/>
      <c r="W27" s="19"/>
      <c r="X27" s="19"/>
      <c r="Y27" s="19"/>
      <c r="Z27" s="19"/>
      <c r="AA27" s="19"/>
      <c r="AB27" s="20"/>
      <c r="AC27" s="4">
        <v>16</v>
      </c>
      <c r="AD27" s="4">
        <v>6</v>
      </c>
      <c r="AE27" s="4">
        <v>8</v>
      </c>
      <c r="AF27" s="22" t="s">
        <v>9</v>
      </c>
      <c r="AG27" s="23" t="str">
        <f t="shared" si="0"/>
        <v/>
      </c>
      <c r="AH27" s="23" t="str">
        <f t="shared" si="1"/>
        <v/>
      </c>
      <c r="AI27" s="23">
        <f t="shared" si="2"/>
        <v>6</v>
      </c>
      <c r="AJ27" s="23">
        <f t="shared" si="3"/>
        <v>8</v>
      </c>
      <c r="AK27">
        <v>6</v>
      </c>
      <c r="AL27">
        <v>5</v>
      </c>
    </row>
    <row r="28" spans="3:38" ht="15.75" customHeight="1" x14ac:dyDescent="0.35">
      <c r="H28" s="4">
        <v>10</v>
      </c>
      <c r="I28" s="4">
        <v>10</v>
      </c>
      <c r="J28" s="4">
        <v>5</v>
      </c>
      <c r="K28" s="4" t="s">
        <v>7</v>
      </c>
      <c r="L28" s="8">
        <f>((ABS(I28-6)^2)+ABS((J28-5)^2))^(1/2)</f>
        <v>4</v>
      </c>
      <c r="M28" s="12"/>
      <c r="P28" s="14">
        <v>10</v>
      </c>
      <c r="Q28" s="14">
        <v>10</v>
      </c>
      <c r="R28" s="14">
        <v>5</v>
      </c>
      <c r="S28" s="14" t="s">
        <v>7</v>
      </c>
      <c r="T28" s="9">
        <f>((ABS(Q28-6)^2)+(ABS(R28-5)^2))^(1/2)</f>
        <v>4</v>
      </c>
      <c r="U28" s="12"/>
      <c r="AC28" s="4">
        <v>17</v>
      </c>
      <c r="AD28" s="4">
        <v>7</v>
      </c>
      <c r="AE28" s="4">
        <v>9</v>
      </c>
      <c r="AF28" s="22" t="s">
        <v>7</v>
      </c>
      <c r="AG28" s="23">
        <f t="shared" si="0"/>
        <v>7</v>
      </c>
      <c r="AH28" s="23">
        <f t="shared" si="1"/>
        <v>9</v>
      </c>
      <c r="AI28" s="23" t="str">
        <f t="shared" si="2"/>
        <v/>
      </c>
      <c r="AJ28" s="23" t="str">
        <f t="shared" si="3"/>
        <v/>
      </c>
      <c r="AK28">
        <v>6</v>
      </c>
      <c r="AL28">
        <v>5</v>
      </c>
    </row>
    <row r="29" spans="3:38" ht="15.75" customHeight="1" x14ac:dyDescent="0.35">
      <c r="H29" s="4">
        <v>12</v>
      </c>
      <c r="I29" s="4">
        <v>2</v>
      </c>
      <c r="J29" s="4">
        <v>6</v>
      </c>
      <c r="K29" s="4" t="s">
        <v>9</v>
      </c>
      <c r="L29" s="8">
        <f>((ABS(I29-6)^2)+ABS((J29-5)^2))^(1/2)</f>
        <v>4.1231056256176606</v>
      </c>
      <c r="M29" s="12"/>
      <c r="P29" s="14">
        <v>12</v>
      </c>
      <c r="Q29" s="14">
        <v>2</v>
      </c>
      <c r="R29" s="14">
        <v>6</v>
      </c>
      <c r="S29" s="14" t="s">
        <v>9</v>
      </c>
      <c r="T29" s="9">
        <f>((ABS(Q29-6)^2)+(ABS(R29-5)^2))^(1/2)</f>
        <v>4.1231056256176606</v>
      </c>
      <c r="U29" s="12"/>
      <c r="AC29" s="4">
        <v>18</v>
      </c>
      <c r="AD29" s="4">
        <v>8</v>
      </c>
      <c r="AE29" s="4">
        <v>9</v>
      </c>
      <c r="AF29" s="22" t="s">
        <v>7</v>
      </c>
      <c r="AG29" s="23">
        <f t="shared" si="0"/>
        <v>8</v>
      </c>
      <c r="AH29" s="23">
        <f t="shared" si="1"/>
        <v>9</v>
      </c>
      <c r="AI29" s="23" t="str">
        <f t="shared" si="2"/>
        <v/>
      </c>
      <c r="AJ29" s="23" t="str">
        <f t="shared" si="3"/>
        <v/>
      </c>
      <c r="AK29">
        <v>6</v>
      </c>
      <c r="AL29">
        <v>5</v>
      </c>
    </row>
    <row r="30" spans="3:38" ht="15.75" customHeight="1" x14ac:dyDescent="0.35">
      <c r="H30" s="4">
        <v>17</v>
      </c>
      <c r="I30" s="4">
        <v>7</v>
      </c>
      <c r="J30" s="4">
        <v>9</v>
      </c>
      <c r="K30" s="4" t="s">
        <v>7</v>
      </c>
      <c r="L30" s="8">
        <f>((ABS(I30-6)^2)+ABS((J30-5)^2))^(1/2)</f>
        <v>4.1231056256176606</v>
      </c>
      <c r="M30" s="12"/>
      <c r="P30" s="14">
        <v>17</v>
      </c>
      <c r="Q30" s="14">
        <v>7</v>
      </c>
      <c r="R30" s="14">
        <v>9</v>
      </c>
      <c r="S30" s="14" t="s">
        <v>7</v>
      </c>
      <c r="T30" s="9">
        <f>((ABS(Q30-6)^2)+(ABS(R30-5)^2))^(1/2)</f>
        <v>4.1231056256176606</v>
      </c>
      <c r="U30" s="12"/>
      <c r="AC30" s="4">
        <v>19</v>
      </c>
      <c r="AD30" s="4">
        <v>9</v>
      </c>
      <c r="AE30" s="4">
        <v>10</v>
      </c>
      <c r="AF30" s="22" t="s">
        <v>9</v>
      </c>
      <c r="AG30" s="23" t="str">
        <f t="shared" si="0"/>
        <v/>
      </c>
      <c r="AH30" s="23" t="str">
        <f t="shared" si="1"/>
        <v/>
      </c>
      <c r="AI30" s="23">
        <f t="shared" si="2"/>
        <v>9</v>
      </c>
      <c r="AJ30" s="23">
        <f t="shared" si="3"/>
        <v>10</v>
      </c>
      <c r="AK30">
        <v>6</v>
      </c>
      <c r="AL30">
        <v>5</v>
      </c>
    </row>
    <row r="31" spans="3:38" ht="15.75" customHeight="1" x14ac:dyDescent="0.35">
      <c r="H31" s="4">
        <v>3</v>
      </c>
      <c r="I31" s="4">
        <v>3</v>
      </c>
      <c r="J31" s="4">
        <v>2</v>
      </c>
      <c r="K31" s="4" t="s">
        <v>7</v>
      </c>
      <c r="L31" s="8">
        <f>((ABS(I31-6)^2)+ABS((J31-5)^2))^(1/2)</f>
        <v>4.2426406871192848</v>
      </c>
      <c r="M31" s="12"/>
      <c r="P31" s="14">
        <v>3</v>
      </c>
      <c r="Q31" s="14">
        <v>3</v>
      </c>
      <c r="R31" s="14">
        <v>2</v>
      </c>
      <c r="S31" s="14" t="s">
        <v>7</v>
      </c>
      <c r="T31" s="9">
        <f>((ABS(Q31-6)^2)+(ABS(R31-5)^2))^(1/2)</f>
        <v>4.2426406871192848</v>
      </c>
      <c r="U31" s="12"/>
      <c r="AC31" s="4">
        <v>20</v>
      </c>
      <c r="AD31" s="4">
        <v>10</v>
      </c>
      <c r="AE31" s="4">
        <v>10</v>
      </c>
      <c r="AF31" s="22" t="s">
        <v>7</v>
      </c>
      <c r="AG31" s="23">
        <f t="shared" si="0"/>
        <v>10</v>
      </c>
      <c r="AH31" s="23">
        <f t="shared" si="1"/>
        <v>10</v>
      </c>
      <c r="AI31" s="23" t="str">
        <f t="shared" si="2"/>
        <v/>
      </c>
      <c r="AJ31" s="23" t="str">
        <f t="shared" si="3"/>
        <v/>
      </c>
      <c r="AK31">
        <v>6</v>
      </c>
      <c r="AL31">
        <v>5</v>
      </c>
    </row>
    <row r="32" spans="3:38" ht="15.75" customHeight="1" x14ac:dyDescent="0.35">
      <c r="H32" s="4">
        <v>18</v>
      </c>
      <c r="I32" s="4">
        <v>8</v>
      </c>
      <c r="J32" s="4">
        <v>9</v>
      </c>
      <c r="K32" s="4" t="s">
        <v>7</v>
      </c>
      <c r="L32" s="8">
        <f>((ABS(I32-6)^2)+ABS((J32-5)^2))^(1/2)</f>
        <v>4.4721359549995796</v>
      </c>
      <c r="M32" s="12"/>
      <c r="P32" s="14">
        <v>18</v>
      </c>
      <c r="Q32" s="14">
        <v>8</v>
      </c>
      <c r="R32" s="14">
        <v>9</v>
      </c>
      <c r="S32" s="14" t="s">
        <v>7</v>
      </c>
      <c r="T32" s="9">
        <f>((ABS(Q32-6)^2)+(ABS(R32-5)^2))^(1/2)</f>
        <v>4.4721359549995796</v>
      </c>
      <c r="U32" s="12"/>
    </row>
    <row r="33" spans="8:35" ht="15.75" customHeight="1" x14ac:dyDescent="0.35">
      <c r="H33" s="4">
        <v>11</v>
      </c>
      <c r="I33" s="4">
        <v>1</v>
      </c>
      <c r="J33" s="4">
        <v>6</v>
      </c>
      <c r="K33" s="4" t="s">
        <v>9</v>
      </c>
      <c r="L33" s="8">
        <f>((ABS(I33-6)^2)+ABS((J33-5)^2))^(1/2)</f>
        <v>5.0990195135927845</v>
      </c>
      <c r="M33" s="12"/>
      <c r="P33" s="14">
        <v>11</v>
      </c>
      <c r="Q33" s="14">
        <v>1</v>
      </c>
      <c r="R33" s="14">
        <v>6</v>
      </c>
      <c r="S33" s="14" t="s">
        <v>9</v>
      </c>
      <c r="T33" s="9">
        <f>((ABS(Q33-6)^2)+(ABS(R33-5)^2))^(1/2)</f>
        <v>5.0990195135927845</v>
      </c>
      <c r="U33" s="12"/>
    </row>
    <row r="34" spans="8:35" ht="15.75" customHeight="1" x14ac:dyDescent="0.35">
      <c r="H34" s="4">
        <v>2</v>
      </c>
      <c r="I34" s="4">
        <v>2</v>
      </c>
      <c r="J34" s="4">
        <v>1</v>
      </c>
      <c r="K34" s="4" t="s">
        <v>7</v>
      </c>
      <c r="L34" s="8">
        <f>((ABS(I34-6)^2)+ABS((J34-5)^2))^(1/2)</f>
        <v>5.6568542494923806</v>
      </c>
      <c r="M34" s="12"/>
      <c r="P34" s="14">
        <v>2</v>
      </c>
      <c r="Q34" s="14">
        <v>2</v>
      </c>
      <c r="R34" s="14">
        <v>1</v>
      </c>
      <c r="S34" s="14" t="s">
        <v>7</v>
      </c>
      <c r="T34" s="9">
        <f>((ABS(Q34-6)^2)+(ABS(R34-5)^2))^(1/2)</f>
        <v>5.6568542494923806</v>
      </c>
      <c r="U34" s="12"/>
      <c r="AC34" s="28" t="s">
        <v>14</v>
      </c>
      <c r="AD34" s="29"/>
      <c r="AE34" s="29"/>
      <c r="AF34" s="29"/>
    </row>
    <row r="35" spans="8:35" ht="15.75" customHeight="1" x14ac:dyDescent="0.35">
      <c r="H35" s="4">
        <v>19</v>
      </c>
      <c r="I35" s="4">
        <v>9</v>
      </c>
      <c r="J35" s="4">
        <v>10</v>
      </c>
      <c r="K35" s="4" t="s">
        <v>9</v>
      </c>
      <c r="L35" s="8">
        <f>((ABS(I35-6)^2)+ABS((J35-5)^2))^(1/2)</f>
        <v>5.8309518948453007</v>
      </c>
      <c r="M35" s="12"/>
      <c r="P35" s="14">
        <v>19</v>
      </c>
      <c r="Q35" s="14">
        <v>9</v>
      </c>
      <c r="R35" s="14">
        <v>10</v>
      </c>
      <c r="S35" s="14" t="s">
        <v>9</v>
      </c>
      <c r="T35" s="9">
        <f>((ABS(Q35-6)^2)+(ABS(R35-5)^2))^(1/2)</f>
        <v>5.8309518948453007</v>
      </c>
      <c r="U35" s="12"/>
      <c r="AC35" s="29"/>
      <c r="AD35" s="29"/>
      <c r="AE35" s="29"/>
      <c r="AF35" s="29"/>
    </row>
    <row r="36" spans="8:35" ht="15.75" customHeight="1" x14ac:dyDescent="0.35">
      <c r="H36" s="4">
        <v>1</v>
      </c>
      <c r="I36" s="4">
        <v>1</v>
      </c>
      <c r="J36" s="4">
        <v>1</v>
      </c>
      <c r="K36" s="4" t="s">
        <v>7</v>
      </c>
      <c r="L36" s="8">
        <f>((ABS(I36-6)^2)+ABS((J36-5)^2))^(1/2)</f>
        <v>6.4031242374328485</v>
      </c>
      <c r="M36" s="12"/>
      <c r="P36" s="14">
        <v>1</v>
      </c>
      <c r="Q36" s="14">
        <v>1</v>
      </c>
      <c r="R36" s="14">
        <v>1</v>
      </c>
      <c r="S36" s="14" t="s">
        <v>7</v>
      </c>
      <c r="T36" s="9">
        <f>((ABS(Q36-6)^2)+(ABS(R36-5)^2))^(1/2)</f>
        <v>6.4031242374328485</v>
      </c>
      <c r="U36" s="12"/>
    </row>
    <row r="37" spans="8:35" ht="15.75" customHeight="1" x14ac:dyDescent="0.35">
      <c r="H37" s="4">
        <v>20</v>
      </c>
      <c r="I37" s="4">
        <v>10</v>
      </c>
      <c r="J37" s="4">
        <v>10</v>
      </c>
      <c r="K37" s="4" t="s">
        <v>7</v>
      </c>
      <c r="L37" s="8">
        <f>((ABS(I37-6)^2)+ABS((J37-5)^2))^(1/2)</f>
        <v>6.4031242374328485</v>
      </c>
      <c r="M37" s="12"/>
      <c r="P37" s="14">
        <v>20</v>
      </c>
      <c r="Q37" s="14">
        <v>10</v>
      </c>
      <c r="R37" s="14">
        <v>10</v>
      </c>
      <c r="S37" s="14" t="s">
        <v>7</v>
      </c>
      <c r="T37" s="9">
        <f>((ABS(Q37-6)^2)+(ABS(R37-5)^2))^(1/2)</f>
        <v>6.4031242374328485</v>
      </c>
      <c r="U37" s="12"/>
      <c r="AC37" s="2" t="s">
        <v>2</v>
      </c>
      <c r="AD37" s="2" t="s">
        <v>3</v>
      </c>
      <c r="AE37" s="2" t="s">
        <v>4</v>
      </c>
      <c r="AF37" s="2" t="s">
        <v>5</v>
      </c>
      <c r="AG37" s="25" t="s">
        <v>16</v>
      </c>
      <c r="AH37" s="27" t="s">
        <v>25</v>
      </c>
      <c r="AI37" s="27" t="s">
        <v>26</v>
      </c>
    </row>
    <row r="38" spans="8:35" ht="15.75" customHeight="1" x14ac:dyDescent="0.35">
      <c r="AC38" s="15">
        <v>14</v>
      </c>
      <c r="AD38" s="15">
        <v>4</v>
      </c>
      <c r="AE38" s="15">
        <v>7</v>
      </c>
      <c r="AF38" s="15" t="s">
        <v>7</v>
      </c>
      <c r="AG38" s="26">
        <f>((ABS(AD38-5)^2)+(ABS(AE38-6)^2))^(1/2)</f>
        <v>1.4142135623730951</v>
      </c>
      <c r="AH38" s="23">
        <f>AD38</f>
        <v>4</v>
      </c>
      <c r="AI38" s="23">
        <f>AE38</f>
        <v>7</v>
      </c>
    </row>
    <row r="39" spans="8:35" ht="15.75" customHeight="1" x14ac:dyDescent="0.35">
      <c r="AC39" s="15">
        <v>15</v>
      </c>
      <c r="AD39" s="15">
        <v>5</v>
      </c>
      <c r="AE39" s="15">
        <v>8</v>
      </c>
      <c r="AF39" s="15" t="s">
        <v>9</v>
      </c>
      <c r="AG39" s="26">
        <f>((ABS(AD39-5)^2)+(ABS(AE39-6)^2))^(1/2)</f>
        <v>2</v>
      </c>
      <c r="AH39" s="23">
        <f t="shared" ref="AH39:AI42" si="4">AD39</f>
        <v>5</v>
      </c>
      <c r="AI39" s="23">
        <f t="shared" si="4"/>
        <v>8</v>
      </c>
    </row>
    <row r="40" spans="8:35" ht="15.75" customHeight="1" x14ac:dyDescent="0.35">
      <c r="AC40" s="15">
        <v>13</v>
      </c>
      <c r="AD40" s="15">
        <v>3</v>
      </c>
      <c r="AE40" s="15">
        <v>7</v>
      </c>
      <c r="AF40" s="15" t="s">
        <v>7</v>
      </c>
      <c r="AG40" s="26">
        <f>((ABS(AD40-5)^2)+(ABS(AE40-6)^2))^(1/2)</f>
        <v>2.2360679774997898</v>
      </c>
      <c r="AH40" s="23">
        <f t="shared" si="4"/>
        <v>3</v>
      </c>
      <c r="AI40" s="23">
        <f t="shared" si="4"/>
        <v>7</v>
      </c>
    </row>
    <row r="41" spans="8:35" ht="15.75" customHeight="1" x14ac:dyDescent="0.35">
      <c r="AC41" s="15">
        <v>16</v>
      </c>
      <c r="AD41" s="15">
        <v>6</v>
      </c>
      <c r="AE41" s="15">
        <v>8</v>
      </c>
      <c r="AF41" s="15" t="s">
        <v>9</v>
      </c>
      <c r="AG41" s="26">
        <f>((ABS(AD41-5)^2)+(ABS(AE41-6)^2))^(1/2)</f>
        <v>2.2360679774997898</v>
      </c>
      <c r="AH41" s="23">
        <f t="shared" si="4"/>
        <v>6</v>
      </c>
      <c r="AI41" s="23">
        <f t="shared" si="4"/>
        <v>8</v>
      </c>
    </row>
    <row r="42" spans="8:35" ht="15.75" customHeight="1" x14ac:dyDescent="0.35">
      <c r="AC42" s="15">
        <v>7</v>
      </c>
      <c r="AD42" s="15">
        <v>7</v>
      </c>
      <c r="AE42" s="15">
        <v>4</v>
      </c>
      <c r="AF42" s="15" t="s">
        <v>7</v>
      </c>
      <c r="AG42" s="26">
        <f>((ABS(AD42-5)^2)+(ABS(AE42-6)^2))^(1/2)</f>
        <v>2.8284271247461903</v>
      </c>
      <c r="AH42" s="23">
        <f t="shared" si="4"/>
        <v>7</v>
      </c>
      <c r="AI42" s="23">
        <f t="shared" si="4"/>
        <v>4</v>
      </c>
    </row>
    <row r="43" spans="8:35" ht="15.75" customHeight="1" x14ac:dyDescent="0.35">
      <c r="AC43" s="14">
        <v>5</v>
      </c>
      <c r="AD43" s="14">
        <v>5</v>
      </c>
      <c r="AE43" s="14">
        <v>3</v>
      </c>
      <c r="AF43" s="14" t="s">
        <v>9</v>
      </c>
      <c r="AG43" s="26">
        <f>((ABS(AD43-5)^2)+(ABS(AE43-6)^2))^(1/2)</f>
        <v>3</v>
      </c>
      <c r="AH43" s="35"/>
      <c r="AI43" s="35"/>
    </row>
    <row r="44" spans="8:35" ht="15.75" customHeight="1" x14ac:dyDescent="0.35">
      <c r="AC44" s="14">
        <v>12</v>
      </c>
      <c r="AD44" s="14">
        <v>2</v>
      </c>
      <c r="AE44" s="14">
        <v>6</v>
      </c>
      <c r="AF44" s="14" t="s">
        <v>9</v>
      </c>
      <c r="AG44" s="26">
        <f>((ABS(AD44-5)^2)+(ABS(AE44-6)^2))^(1/2)</f>
        <v>3</v>
      </c>
      <c r="AH44" s="35"/>
      <c r="AI44" s="35"/>
    </row>
    <row r="45" spans="8:35" ht="15.75" customHeight="1" x14ac:dyDescent="0.35">
      <c r="AC45" s="4">
        <v>6</v>
      </c>
      <c r="AD45" s="4">
        <v>6</v>
      </c>
      <c r="AE45" s="4">
        <v>3</v>
      </c>
      <c r="AF45" s="4" t="s">
        <v>9</v>
      </c>
      <c r="AG45" s="26">
        <f>((ABS(AD45-5)^2)+(ABS(AE45-6)^2))^(1/2)</f>
        <v>3.1622776601683795</v>
      </c>
    </row>
    <row r="46" spans="8:35" ht="15.75" customHeight="1" x14ac:dyDescent="0.35">
      <c r="AC46" s="4">
        <v>8</v>
      </c>
      <c r="AD46" s="4">
        <v>8</v>
      </c>
      <c r="AE46" s="4">
        <v>4</v>
      </c>
      <c r="AF46" s="4" t="s">
        <v>7</v>
      </c>
      <c r="AG46" s="26">
        <f>((ABS(AD46-5)^2)+(ABS(AE46-6)^2))^(1/2)</f>
        <v>3.6055512754639891</v>
      </c>
    </row>
    <row r="47" spans="8:35" ht="15.75" customHeight="1" x14ac:dyDescent="0.35">
      <c r="AC47" s="4">
        <v>17</v>
      </c>
      <c r="AD47" s="4">
        <v>7</v>
      </c>
      <c r="AE47" s="4">
        <v>9</v>
      </c>
      <c r="AF47" s="4" t="s">
        <v>7</v>
      </c>
      <c r="AG47" s="26">
        <f>((ABS(AD47-5)^2)+(ABS(AE47-6)^2))^(1/2)</f>
        <v>3.6055512754639891</v>
      </c>
    </row>
    <row r="48" spans="8:35" ht="15.75" customHeight="1" x14ac:dyDescent="0.35">
      <c r="AC48" s="4">
        <v>11</v>
      </c>
      <c r="AD48" s="4">
        <v>1</v>
      </c>
      <c r="AE48" s="4">
        <v>6</v>
      </c>
      <c r="AF48" s="4" t="s">
        <v>9</v>
      </c>
      <c r="AG48" s="26">
        <f>((ABS(AD48-5)^2)+(ABS(AE48-6)^2))^(1/2)</f>
        <v>4</v>
      </c>
    </row>
    <row r="49" spans="29:33" ht="15.75" customHeight="1" x14ac:dyDescent="0.35">
      <c r="AC49" s="4">
        <v>4</v>
      </c>
      <c r="AD49" s="4">
        <v>4</v>
      </c>
      <c r="AE49" s="4">
        <v>2</v>
      </c>
      <c r="AF49" s="4" t="s">
        <v>9</v>
      </c>
      <c r="AG49" s="26">
        <f>((ABS(AD49-5)^2)+(ABS(AE49-6)^2))^(1/2)</f>
        <v>4.1231056256176606</v>
      </c>
    </row>
    <row r="50" spans="29:33" ht="15.75" customHeight="1" x14ac:dyDescent="0.35">
      <c r="AC50" s="4">
        <v>9</v>
      </c>
      <c r="AD50" s="4">
        <v>9</v>
      </c>
      <c r="AE50" s="4">
        <v>5</v>
      </c>
      <c r="AF50" s="4" t="s">
        <v>9</v>
      </c>
      <c r="AG50" s="26">
        <f>((ABS(AD50-5)^2)+(ABS(AE50-6)^2))^(1/2)</f>
        <v>4.1231056256176606</v>
      </c>
    </row>
    <row r="51" spans="29:33" ht="15.75" customHeight="1" x14ac:dyDescent="0.35">
      <c r="AC51" s="4">
        <v>18</v>
      </c>
      <c r="AD51" s="4">
        <v>8</v>
      </c>
      <c r="AE51" s="4">
        <v>9</v>
      </c>
      <c r="AF51" s="4" t="s">
        <v>7</v>
      </c>
      <c r="AG51" s="26">
        <f>((ABS(AD51-5)^2)+(ABS(AE51-6)^2))^(1/2)</f>
        <v>4.2426406871192848</v>
      </c>
    </row>
    <row r="52" spans="29:33" ht="15.75" customHeight="1" x14ac:dyDescent="0.35">
      <c r="AC52" s="4">
        <v>3</v>
      </c>
      <c r="AD52" s="4">
        <v>3</v>
      </c>
      <c r="AE52" s="4">
        <v>2</v>
      </c>
      <c r="AF52" s="4" t="s">
        <v>7</v>
      </c>
      <c r="AG52" s="26">
        <f>((ABS(AD52-5)^2)+(ABS(AE52-6)^2))^(1/2)</f>
        <v>4.4721359549995796</v>
      </c>
    </row>
    <row r="53" spans="29:33" ht="15.75" customHeight="1" x14ac:dyDescent="0.35">
      <c r="AC53" s="4">
        <v>10</v>
      </c>
      <c r="AD53" s="4">
        <v>10</v>
      </c>
      <c r="AE53" s="4">
        <v>5</v>
      </c>
      <c r="AF53" s="4" t="s">
        <v>7</v>
      </c>
      <c r="AG53" s="26">
        <f>((ABS(AD53-5)^2)+(ABS(AE53-6)^2))^(1/2)</f>
        <v>5.0990195135927845</v>
      </c>
    </row>
    <row r="54" spans="29:33" ht="15.75" customHeight="1" x14ac:dyDescent="0.35">
      <c r="AC54" s="4">
        <v>19</v>
      </c>
      <c r="AD54" s="4">
        <v>9</v>
      </c>
      <c r="AE54" s="4">
        <v>10</v>
      </c>
      <c r="AF54" s="4" t="s">
        <v>9</v>
      </c>
      <c r="AG54" s="26">
        <f>((ABS(AD54-5)^2)+(ABS(AE54-6)^2))^(1/2)</f>
        <v>5.6568542494923806</v>
      </c>
    </row>
    <row r="55" spans="29:33" ht="15.75" customHeight="1" x14ac:dyDescent="0.35">
      <c r="AC55" s="4">
        <v>2</v>
      </c>
      <c r="AD55" s="4">
        <v>2</v>
      </c>
      <c r="AE55" s="4">
        <v>1</v>
      </c>
      <c r="AF55" s="4" t="s">
        <v>7</v>
      </c>
      <c r="AG55" s="26">
        <f>((ABS(AD55-5)^2)+(ABS(AE55-6)^2))^(1/2)</f>
        <v>5.8309518948453007</v>
      </c>
    </row>
    <row r="56" spans="29:33" ht="15.75" customHeight="1" x14ac:dyDescent="0.35">
      <c r="AC56" s="4">
        <v>1</v>
      </c>
      <c r="AD56" s="4">
        <v>1</v>
      </c>
      <c r="AE56" s="4">
        <v>1</v>
      </c>
      <c r="AF56" s="4" t="s">
        <v>7</v>
      </c>
      <c r="AG56" s="26">
        <f>((ABS(AD56-5)^2)+(ABS(AE56-6)^2))^(1/2)</f>
        <v>6.4031242374328485</v>
      </c>
    </row>
    <row r="57" spans="29:33" ht="15.75" customHeight="1" x14ac:dyDescent="0.35">
      <c r="AC57" s="4">
        <v>20</v>
      </c>
      <c r="AD57" s="4">
        <v>10</v>
      </c>
      <c r="AE57" s="4">
        <v>10</v>
      </c>
      <c r="AF57" s="4" t="s">
        <v>7</v>
      </c>
      <c r="AG57" s="26">
        <f>((ABS(AD57-5)^2)+(ABS(AE57-6)^2))^(1/2)</f>
        <v>6.4031242374328485</v>
      </c>
    </row>
    <row r="58" spans="29:33" ht="15.75" customHeight="1" x14ac:dyDescent="0.35"/>
    <row r="59" spans="29:33" ht="15.75" customHeight="1" x14ac:dyDescent="0.35"/>
    <row r="60" spans="29:33" ht="15.75" customHeight="1" x14ac:dyDescent="0.35"/>
    <row r="61" spans="29:33" ht="15.75" customHeight="1" x14ac:dyDescent="0.35"/>
    <row r="62" spans="29:33" ht="15.75" customHeight="1" x14ac:dyDescent="0.35"/>
    <row r="63" spans="29:33" ht="15.75" customHeight="1" x14ac:dyDescent="0.35"/>
    <row r="64" spans="29:33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6">
    <mergeCell ref="P7:S8"/>
    <mergeCell ref="H9:I9"/>
    <mergeCell ref="AC9:AF9"/>
    <mergeCell ref="H10:N11"/>
    <mergeCell ref="V21:AA23"/>
    <mergeCell ref="AC34:AF35"/>
  </mergeCells>
  <pageMargins left="0.7" right="0.7" top="0.75" bottom="0.75" header="0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446E1-B66B-4306-AAB1-0AB3D47CC5E9}">
  <dimension ref="C2:AL1000"/>
  <sheetViews>
    <sheetView workbookViewId="0">
      <selection activeCell="AG33" sqref="AG33"/>
    </sheetView>
  </sheetViews>
  <sheetFormatPr defaultColWidth="14.453125" defaultRowHeight="15" customHeight="1" x14ac:dyDescent="0.35"/>
  <cols>
    <col min="1" max="11" width="8.7265625" customWidth="1"/>
    <col min="12" max="13" width="14.08984375" customWidth="1"/>
    <col min="14" max="19" width="8.7265625" customWidth="1"/>
    <col min="20" max="20" width="14.08984375" customWidth="1"/>
    <col min="21" max="21" width="5.7265625" customWidth="1"/>
    <col min="22" max="32" width="8.7265625" customWidth="1"/>
    <col min="33" max="36" width="13.1796875" customWidth="1"/>
    <col min="37" max="42" width="8.7265625" customWidth="1"/>
  </cols>
  <sheetData>
    <row r="2" spans="3:38" ht="46" x14ac:dyDescent="1">
      <c r="J2" s="18" t="s">
        <v>0</v>
      </c>
    </row>
    <row r="4" spans="3:38" ht="14.5" x14ac:dyDescent="0.35">
      <c r="C4" s="1" t="s">
        <v>1</v>
      </c>
    </row>
    <row r="5" spans="3:38" ht="29" x14ac:dyDescent="0.35">
      <c r="C5" s="2" t="s">
        <v>2</v>
      </c>
      <c r="D5" s="2" t="s">
        <v>3</v>
      </c>
      <c r="E5" s="2" t="s">
        <v>4</v>
      </c>
      <c r="F5" s="2" t="s">
        <v>5</v>
      </c>
      <c r="H5" s="3" t="s">
        <v>6</v>
      </c>
      <c r="L5" s="10"/>
      <c r="M5" s="10"/>
    </row>
    <row r="6" spans="3:38" ht="14.5" x14ac:dyDescent="0.35">
      <c r="C6" s="4">
        <v>1</v>
      </c>
      <c r="D6" s="4">
        <v>1</v>
      </c>
      <c r="E6" s="4">
        <v>1</v>
      </c>
      <c r="F6" s="4" t="s">
        <v>7</v>
      </c>
      <c r="H6" s="5" t="s">
        <v>15</v>
      </c>
    </row>
    <row r="7" spans="3:38" ht="14.5" x14ac:dyDescent="0.35">
      <c r="C7" s="4">
        <v>2</v>
      </c>
      <c r="D7" s="4">
        <v>2</v>
      </c>
      <c r="E7" s="4">
        <v>1</v>
      </c>
      <c r="F7" s="4" t="s">
        <v>7</v>
      </c>
      <c r="H7" s="5" t="s">
        <v>8</v>
      </c>
      <c r="P7" s="30" t="s">
        <v>18</v>
      </c>
      <c r="Q7" s="30"/>
      <c r="R7" s="30"/>
      <c r="S7" s="30"/>
    </row>
    <row r="8" spans="3:38" ht="14.5" x14ac:dyDescent="0.35">
      <c r="C8" s="4">
        <v>3</v>
      </c>
      <c r="D8" s="4">
        <v>3</v>
      </c>
      <c r="E8" s="4">
        <v>2</v>
      </c>
      <c r="F8" s="4" t="s">
        <v>7</v>
      </c>
      <c r="P8" s="30"/>
      <c r="Q8" s="30"/>
      <c r="R8" s="30"/>
      <c r="S8" s="30"/>
    </row>
    <row r="9" spans="3:38" ht="15" customHeight="1" x14ac:dyDescent="0.35">
      <c r="C9" s="4">
        <v>4</v>
      </c>
      <c r="D9" s="4">
        <v>4</v>
      </c>
      <c r="E9" s="4">
        <v>2</v>
      </c>
      <c r="F9" s="4" t="s">
        <v>9</v>
      </c>
      <c r="H9" s="31" t="s">
        <v>10</v>
      </c>
      <c r="I9" s="29"/>
      <c r="P9" s="16" t="s">
        <v>12</v>
      </c>
      <c r="AC9" s="31" t="s">
        <v>11</v>
      </c>
      <c r="AD9" s="29"/>
      <c r="AE9" s="29"/>
      <c r="AF9" s="29"/>
    </row>
    <row r="10" spans="3:38" ht="14.5" x14ac:dyDescent="0.35">
      <c r="C10" s="4">
        <v>5</v>
      </c>
      <c r="D10" s="4">
        <v>5</v>
      </c>
      <c r="E10" s="4">
        <v>3</v>
      </c>
      <c r="F10" s="4" t="s">
        <v>9</v>
      </c>
      <c r="H10" s="32" t="s">
        <v>17</v>
      </c>
      <c r="I10" s="29"/>
      <c r="J10" s="29"/>
      <c r="K10" s="29"/>
      <c r="L10" s="29"/>
      <c r="M10" s="29"/>
      <c r="N10" s="29"/>
      <c r="P10" t="s">
        <v>19</v>
      </c>
    </row>
    <row r="11" spans="3:38" ht="14.5" x14ac:dyDescent="0.35">
      <c r="C11" s="4">
        <v>6</v>
      </c>
      <c r="D11" s="4">
        <v>6</v>
      </c>
      <c r="E11" s="4">
        <v>3</v>
      </c>
      <c r="F11" s="4" t="s">
        <v>9</v>
      </c>
      <c r="H11" s="29"/>
      <c r="I11" s="29"/>
      <c r="J11" s="29"/>
      <c r="K11" s="29"/>
      <c r="L11" s="29"/>
      <c r="M11" s="29"/>
      <c r="N11" s="29"/>
      <c r="P11" s="34" t="s">
        <v>27</v>
      </c>
      <c r="AC11" s="2" t="s">
        <v>2</v>
      </c>
      <c r="AD11" s="2" t="s">
        <v>3</v>
      </c>
      <c r="AE11" s="2" t="s">
        <v>4</v>
      </c>
      <c r="AF11" s="21" t="s">
        <v>5</v>
      </c>
      <c r="AG11" s="24" t="s">
        <v>21</v>
      </c>
      <c r="AH11" s="24" t="s">
        <v>22</v>
      </c>
      <c r="AI11" s="24" t="s">
        <v>23</v>
      </c>
      <c r="AJ11" s="24" t="s">
        <v>24</v>
      </c>
    </row>
    <row r="12" spans="3:38" ht="14.5" x14ac:dyDescent="0.35">
      <c r="C12" s="4">
        <v>7</v>
      </c>
      <c r="D12" s="4">
        <v>7</v>
      </c>
      <c r="E12" s="4">
        <v>4</v>
      </c>
      <c r="F12" s="4" t="s">
        <v>7</v>
      </c>
      <c r="H12" s="7"/>
      <c r="P12" s="34" t="s">
        <v>20</v>
      </c>
      <c r="AC12" s="4">
        <v>1</v>
      </c>
      <c r="AD12" s="4">
        <v>1</v>
      </c>
      <c r="AE12" s="4">
        <v>1</v>
      </c>
      <c r="AF12" s="22" t="s">
        <v>7</v>
      </c>
      <c r="AG12" s="23">
        <f>IF($AF12="A",$AD12,"")</f>
        <v>1</v>
      </c>
      <c r="AH12" s="23">
        <f>IF($AF12="A",$AE12,"")</f>
        <v>1</v>
      </c>
      <c r="AI12" s="23" t="str">
        <f>IF($AF12="B",$AD12,"")</f>
        <v/>
      </c>
      <c r="AJ12" s="23" t="str">
        <f>IF($AF12="B",$AE12,"")</f>
        <v/>
      </c>
      <c r="AK12">
        <v>6</v>
      </c>
      <c r="AL12">
        <v>5</v>
      </c>
    </row>
    <row r="13" spans="3:38" ht="14.5" x14ac:dyDescent="0.35">
      <c r="C13" s="4">
        <v>8</v>
      </c>
      <c r="D13" s="4">
        <v>8</v>
      </c>
      <c r="E13" s="4">
        <v>4</v>
      </c>
      <c r="F13" s="4" t="s">
        <v>7</v>
      </c>
      <c r="P13" s="34" t="s">
        <v>28</v>
      </c>
      <c r="AC13" s="4">
        <v>2</v>
      </c>
      <c r="AD13" s="4">
        <v>2</v>
      </c>
      <c r="AE13" s="4">
        <v>1</v>
      </c>
      <c r="AF13" s="22" t="s">
        <v>7</v>
      </c>
      <c r="AG13" s="23">
        <f t="shared" ref="AG13:AG31" si="0">IF($AF13="A",$AD13,"")</f>
        <v>2</v>
      </c>
      <c r="AH13" s="23">
        <f t="shared" ref="AH13:AH31" si="1">IF($AF13="A",$AE13,"")</f>
        <v>1</v>
      </c>
      <c r="AI13" s="23" t="str">
        <f t="shared" ref="AI13:AI31" si="2">IF($AF13="B",$AD13,"")</f>
        <v/>
      </c>
      <c r="AJ13" s="23" t="str">
        <f t="shared" ref="AJ13:AJ31" si="3">IF($AF13="B",$AE13,"")</f>
        <v/>
      </c>
      <c r="AK13">
        <v>6</v>
      </c>
      <c r="AL13">
        <v>5</v>
      </c>
    </row>
    <row r="14" spans="3:38" ht="14.5" x14ac:dyDescent="0.35">
      <c r="C14" s="4">
        <v>9</v>
      </c>
      <c r="D14" s="4">
        <v>9</v>
      </c>
      <c r="E14" s="4">
        <v>5</v>
      </c>
      <c r="F14" s="4" t="s">
        <v>9</v>
      </c>
      <c r="L14" s="10"/>
      <c r="P14" s="34" t="s">
        <v>29</v>
      </c>
      <c r="AC14" s="4">
        <v>3</v>
      </c>
      <c r="AD14" s="4">
        <v>3</v>
      </c>
      <c r="AE14" s="4">
        <v>2</v>
      </c>
      <c r="AF14" s="22" t="s">
        <v>7</v>
      </c>
      <c r="AG14" s="23">
        <f t="shared" si="0"/>
        <v>3</v>
      </c>
      <c r="AH14" s="23">
        <f t="shared" si="1"/>
        <v>2</v>
      </c>
      <c r="AI14" s="23" t="str">
        <f t="shared" si="2"/>
        <v/>
      </c>
      <c r="AJ14" s="23" t="str">
        <f t="shared" si="3"/>
        <v/>
      </c>
      <c r="AK14">
        <v>6</v>
      </c>
      <c r="AL14">
        <v>5</v>
      </c>
    </row>
    <row r="15" spans="3:38" ht="14.5" x14ac:dyDescent="0.35">
      <c r="C15" s="4">
        <v>10</v>
      </c>
      <c r="D15" s="4">
        <v>10</v>
      </c>
      <c r="E15" s="4">
        <v>5</v>
      </c>
      <c r="F15" s="4" t="s">
        <v>7</v>
      </c>
      <c r="P15" s="34" t="s">
        <v>30</v>
      </c>
      <c r="AC15" s="4">
        <v>4</v>
      </c>
      <c r="AD15" s="4">
        <v>4</v>
      </c>
      <c r="AE15" s="4">
        <v>2</v>
      </c>
      <c r="AF15" s="22" t="s">
        <v>9</v>
      </c>
      <c r="AG15" s="23" t="str">
        <f t="shared" si="0"/>
        <v/>
      </c>
      <c r="AH15" s="23" t="str">
        <f t="shared" si="1"/>
        <v/>
      </c>
      <c r="AI15" s="23">
        <f t="shared" si="2"/>
        <v>4</v>
      </c>
      <c r="AJ15" s="23">
        <f t="shared" si="3"/>
        <v>2</v>
      </c>
      <c r="AK15">
        <v>6</v>
      </c>
      <c r="AL15">
        <v>5</v>
      </c>
    </row>
    <row r="16" spans="3:38" ht="19.5" customHeight="1" x14ac:dyDescent="0.35">
      <c r="C16" s="4">
        <v>11</v>
      </c>
      <c r="D16" s="4">
        <v>1</v>
      </c>
      <c r="E16" s="4">
        <v>6</v>
      </c>
      <c r="F16" s="4" t="s">
        <v>9</v>
      </c>
      <c r="AC16" s="4">
        <v>5</v>
      </c>
      <c r="AD16" s="4">
        <v>5</v>
      </c>
      <c r="AE16" s="4">
        <v>3</v>
      </c>
      <c r="AF16" s="22" t="s">
        <v>9</v>
      </c>
      <c r="AG16" s="23" t="str">
        <f t="shared" si="0"/>
        <v/>
      </c>
      <c r="AH16" s="23" t="str">
        <f t="shared" si="1"/>
        <v/>
      </c>
      <c r="AI16" s="23">
        <f t="shared" si="2"/>
        <v>5</v>
      </c>
      <c r="AJ16" s="23">
        <f t="shared" si="3"/>
        <v>3</v>
      </c>
      <c r="AK16">
        <v>6</v>
      </c>
      <c r="AL16">
        <v>5</v>
      </c>
    </row>
    <row r="17" spans="3:38" ht="14.5" x14ac:dyDescent="0.35">
      <c r="C17" s="4">
        <v>12</v>
      </c>
      <c r="D17" s="4">
        <v>2</v>
      </c>
      <c r="E17" s="4">
        <v>6</v>
      </c>
      <c r="F17" s="4" t="s">
        <v>9</v>
      </c>
      <c r="H17" s="2" t="s">
        <v>2</v>
      </c>
      <c r="I17" s="2" t="s">
        <v>3</v>
      </c>
      <c r="J17" s="2" t="s">
        <v>4</v>
      </c>
      <c r="K17" s="2" t="s">
        <v>5</v>
      </c>
      <c r="L17" s="2" t="s">
        <v>16</v>
      </c>
      <c r="M17" s="11"/>
      <c r="P17" s="2" t="s">
        <v>2</v>
      </c>
      <c r="Q17" s="2" t="s">
        <v>3</v>
      </c>
      <c r="R17" s="2" t="s">
        <v>4</v>
      </c>
      <c r="S17" s="2" t="s">
        <v>5</v>
      </c>
      <c r="T17" s="2" t="s">
        <v>16</v>
      </c>
      <c r="U17" s="11"/>
      <c r="AC17" s="4">
        <v>6</v>
      </c>
      <c r="AD17" s="4">
        <v>6</v>
      </c>
      <c r="AE17" s="4">
        <v>3</v>
      </c>
      <c r="AF17" s="22" t="s">
        <v>9</v>
      </c>
      <c r="AG17" s="23" t="str">
        <f t="shared" si="0"/>
        <v/>
      </c>
      <c r="AH17" s="23" t="str">
        <f t="shared" si="1"/>
        <v/>
      </c>
      <c r="AI17" s="23">
        <f t="shared" si="2"/>
        <v>6</v>
      </c>
      <c r="AJ17" s="23">
        <f t="shared" si="3"/>
        <v>3</v>
      </c>
      <c r="AK17">
        <v>6</v>
      </c>
      <c r="AL17">
        <v>5</v>
      </c>
    </row>
    <row r="18" spans="3:38" ht="14.5" x14ac:dyDescent="0.35">
      <c r="C18" s="4">
        <v>13</v>
      </c>
      <c r="D18" s="4">
        <v>3</v>
      </c>
      <c r="E18" s="4">
        <v>7</v>
      </c>
      <c r="F18" s="4" t="s">
        <v>7</v>
      </c>
      <c r="H18" s="4">
        <v>7</v>
      </c>
      <c r="I18" s="4">
        <v>7</v>
      </c>
      <c r="J18" s="4">
        <v>4</v>
      </c>
      <c r="K18" s="4" t="s">
        <v>7</v>
      </c>
      <c r="L18" s="8">
        <f>((ABS(I18-6)^2)+ABS((J18-5)^2))^(1/2)</f>
        <v>1.4142135623730951</v>
      </c>
      <c r="M18" s="12"/>
      <c r="P18" s="15">
        <v>7</v>
      </c>
      <c r="Q18" s="15">
        <v>7</v>
      </c>
      <c r="R18" s="15">
        <v>4</v>
      </c>
      <c r="S18" s="15" t="s">
        <v>7</v>
      </c>
      <c r="T18" s="9">
        <f>((ABS(Q18-6)^2)+(ABS(R18-5)^2))^(1/2)</f>
        <v>1.4142135623730951</v>
      </c>
      <c r="U18" s="13"/>
      <c r="AC18" s="4">
        <v>7</v>
      </c>
      <c r="AD18" s="4">
        <v>7</v>
      </c>
      <c r="AE18" s="4">
        <v>4</v>
      </c>
      <c r="AF18" s="22" t="s">
        <v>7</v>
      </c>
      <c r="AG18" s="23">
        <f t="shared" si="0"/>
        <v>7</v>
      </c>
      <c r="AH18" s="23">
        <f t="shared" si="1"/>
        <v>4</v>
      </c>
      <c r="AI18" s="23" t="str">
        <f t="shared" si="2"/>
        <v/>
      </c>
      <c r="AJ18" s="23" t="str">
        <f t="shared" si="3"/>
        <v/>
      </c>
      <c r="AK18">
        <v>6</v>
      </c>
      <c r="AL18">
        <v>5</v>
      </c>
    </row>
    <row r="19" spans="3:38" ht="14.5" x14ac:dyDescent="0.35">
      <c r="C19" s="4">
        <v>14</v>
      </c>
      <c r="D19" s="4">
        <v>4</v>
      </c>
      <c r="E19" s="4">
        <v>7</v>
      </c>
      <c r="F19" s="4" t="s">
        <v>7</v>
      </c>
      <c r="H19" s="4">
        <v>6</v>
      </c>
      <c r="I19" s="4">
        <v>6</v>
      </c>
      <c r="J19" s="4">
        <v>3</v>
      </c>
      <c r="K19" s="4" t="s">
        <v>9</v>
      </c>
      <c r="L19" s="8">
        <f>((ABS(I19-6)^2)+ABS((J19-5)^2))^(1/2)</f>
        <v>2</v>
      </c>
      <c r="M19" s="12"/>
      <c r="P19" s="15">
        <v>6</v>
      </c>
      <c r="Q19" s="15">
        <v>6</v>
      </c>
      <c r="R19" s="15">
        <v>3</v>
      </c>
      <c r="S19" s="15" t="s">
        <v>9</v>
      </c>
      <c r="T19" s="9">
        <f>((ABS(Q19-6)^2)+(ABS(R19-5)^2))^(1/2)</f>
        <v>2</v>
      </c>
      <c r="U19" s="13"/>
      <c r="AC19" s="4">
        <v>8</v>
      </c>
      <c r="AD19" s="4">
        <v>8</v>
      </c>
      <c r="AE19" s="4">
        <v>4</v>
      </c>
      <c r="AF19" s="22" t="s">
        <v>7</v>
      </c>
      <c r="AG19" s="23">
        <f t="shared" si="0"/>
        <v>8</v>
      </c>
      <c r="AH19" s="23">
        <f t="shared" si="1"/>
        <v>4</v>
      </c>
      <c r="AI19" s="23" t="str">
        <f t="shared" si="2"/>
        <v/>
      </c>
      <c r="AJ19" s="23" t="str">
        <f t="shared" si="3"/>
        <v/>
      </c>
      <c r="AK19">
        <v>6</v>
      </c>
      <c r="AL19">
        <v>5</v>
      </c>
    </row>
    <row r="20" spans="3:38" ht="14.5" x14ac:dyDescent="0.35">
      <c r="C20" s="4">
        <v>15</v>
      </c>
      <c r="D20" s="4">
        <v>5</v>
      </c>
      <c r="E20" s="4">
        <v>8</v>
      </c>
      <c r="F20" s="4" t="s">
        <v>9</v>
      </c>
      <c r="H20" s="4">
        <v>5</v>
      </c>
      <c r="I20" s="4">
        <v>5</v>
      </c>
      <c r="J20" s="4">
        <v>3</v>
      </c>
      <c r="K20" s="4" t="s">
        <v>9</v>
      </c>
      <c r="L20" s="8">
        <f>((ABS(I20-6)^2)+ABS((J20-5)^2))^(1/2)</f>
        <v>2.2360679774997898</v>
      </c>
      <c r="M20" s="12"/>
      <c r="P20" s="15">
        <v>5</v>
      </c>
      <c r="Q20" s="15">
        <v>5</v>
      </c>
      <c r="R20" s="15">
        <v>3</v>
      </c>
      <c r="S20" s="15" t="s">
        <v>9</v>
      </c>
      <c r="T20" s="9">
        <f>((ABS(Q20-6)^2)+(ABS(R20-5)^2))^(1/2)</f>
        <v>2.2360679774997898</v>
      </c>
      <c r="U20" s="13"/>
      <c r="V20" s="34" t="s">
        <v>31</v>
      </c>
      <c r="AC20" s="4">
        <v>9</v>
      </c>
      <c r="AD20" s="4">
        <v>9</v>
      </c>
      <c r="AE20" s="4">
        <v>5</v>
      </c>
      <c r="AF20" s="22" t="s">
        <v>9</v>
      </c>
      <c r="AG20" s="23" t="str">
        <f t="shared" si="0"/>
        <v/>
      </c>
      <c r="AH20" s="23" t="str">
        <f t="shared" si="1"/>
        <v/>
      </c>
      <c r="AI20" s="23">
        <f t="shared" si="2"/>
        <v>9</v>
      </c>
      <c r="AJ20" s="23">
        <f t="shared" si="3"/>
        <v>5</v>
      </c>
      <c r="AK20">
        <v>6</v>
      </c>
      <c r="AL20">
        <v>5</v>
      </c>
    </row>
    <row r="21" spans="3:38" ht="15.75" customHeight="1" x14ac:dyDescent="0.35">
      <c r="C21" s="4">
        <v>16</v>
      </c>
      <c r="D21" s="4">
        <v>6</v>
      </c>
      <c r="E21" s="4">
        <v>8</v>
      </c>
      <c r="F21" s="4" t="s">
        <v>9</v>
      </c>
      <c r="H21" s="4">
        <v>8</v>
      </c>
      <c r="I21" s="4">
        <v>8</v>
      </c>
      <c r="J21" s="4">
        <v>4</v>
      </c>
      <c r="K21" s="4" t="s">
        <v>7</v>
      </c>
      <c r="L21" s="8">
        <f>((ABS(I21-6)^2)+ABS((J21-5)^2))^(1/2)</f>
        <v>2.2360679774997898</v>
      </c>
      <c r="M21" s="12"/>
      <c r="P21" s="15">
        <v>8</v>
      </c>
      <c r="Q21" s="15">
        <v>8</v>
      </c>
      <c r="R21" s="15">
        <v>4</v>
      </c>
      <c r="S21" s="15" t="s">
        <v>7</v>
      </c>
      <c r="T21" s="9">
        <f>((ABS(Q21-6)^2)+(ABS(R21-5)^2))^(1/2)</f>
        <v>2.2360679774997898</v>
      </c>
      <c r="U21" s="12"/>
      <c r="V21" s="33" t="s">
        <v>32</v>
      </c>
      <c r="W21" s="33"/>
      <c r="X21" s="33"/>
      <c r="Y21" s="33"/>
      <c r="Z21" s="33"/>
      <c r="AA21" s="33"/>
      <c r="AC21" s="4">
        <v>10</v>
      </c>
      <c r="AD21" s="4">
        <v>10</v>
      </c>
      <c r="AE21" s="4">
        <v>5</v>
      </c>
      <c r="AF21" s="22" t="s">
        <v>7</v>
      </c>
      <c r="AG21" s="23">
        <f t="shared" si="0"/>
        <v>10</v>
      </c>
      <c r="AH21" s="23">
        <f t="shared" si="1"/>
        <v>5</v>
      </c>
      <c r="AI21" s="23" t="str">
        <f t="shared" si="2"/>
        <v/>
      </c>
      <c r="AJ21" s="23" t="str">
        <f t="shared" si="3"/>
        <v/>
      </c>
      <c r="AK21">
        <v>6</v>
      </c>
      <c r="AL21">
        <v>5</v>
      </c>
    </row>
    <row r="22" spans="3:38" ht="15.75" customHeight="1" x14ac:dyDescent="0.35">
      <c r="C22" s="4">
        <v>17</v>
      </c>
      <c r="D22" s="4">
        <v>7</v>
      </c>
      <c r="E22" s="4">
        <v>9</v>
      </c>
      <c r="F22" s="4" t="s">
        <v>7</v>
      </c>
      <c r="H22" s="4">
        <v>14</v>
      </c>
      <c r="I22" s="4">
        <v>4</v>
      </c>
      <c r="J22" s="4">
        <v>7</v>
      </c>
      <c r="K22" s="4" t="s">
        <v>7</v>
      </c>
      <c r="L22" s="8">
        <f>((ABS(I22-6)^2)+ABS((J22-5)^2))^(1/2)</f>
        <v>2.8284271247461903</v>
      </c>
      <c r="M22" s="12"/>
      <c r="P22" s="15">
        <v>14</v>
      </c>
      <c r="Q22" s="15">
        <v>4</v>
      </c>
      <c r="R22" s="15">
        <v>7</v>
      </c>
      <c r="S22" s="15" t="s">
        <v>7</v>
      </c>
      <c r="T22" s="9">
        <f>((ABS(Q22-6)^2)+(ABS(R22-5)^2))^(1/2)</f>
        <v>2.8284271247461903</v>
      </c>
      <c r="U22" s="12"/>
      <c r="V22" s="33"/>
      <c r="W22" s="33"/>
      <c r="X22" s="33"/>
      <c r="Y22" s="33"/>
      <c r="Z22" s="33"/>
      <c r="AA22" s="33"/>
      <c r="AC22" s="4">
        <v>11</v>
      </c>
      <c r="AD22" s="4">
        <v>1</v>
      </c>
      <c r="AE22" s="4">
        <v>6</v>
      </c>
      <c r="AF22" s="22" t="s">
        <v>9</v>
      </c>
      <c r="AG22" s="23" t="str">
        <f t="shared" si="0"/>
        <v/>
      </c>
      <c r="AH22" s="23" t="str">
        <f t="shared" si="1"/>
        <v/>
      </c>
      <c r="AI22" s="23">
        <f t="shared" si="2"/>
        <v>1</v>
      </c>
      <c r="AJ22" s="23">
        <f t="shared" si="3"/>
        <v>6</v>
      </c>
      <c r="AK22">
        <v>6</v>
      </c>
      <c r="AL22">
        <v>5</v>
      </c>
    </row>
    <row r="23" spans="3:38" ht="15.75" customHeight="1" x14ac:dyDescent="0.35">
      <c r="C23" s="4">
        <v>18</v>
      </c>
      <c r="D23" s="4">
        <v>8</v>
      </c>
      <c r="E23" s="4">
        <v>9</v>
      </c>
      <c r="F23" s="4" t="s">
        <v>7</v>
      </c>
      <c r="H23" s="4">
        <v>9</v>
      </c>
      <c r="I23" s="4">
        <v>9</v>
      </c>
      <c r="J23" s="4">
        <v>5</v>
      </c>
      <c r="K23" s="4" t="s">
        <v>9</v>
      </c>
      <c r="L23" s="8">
        <f>((ABS(I23-6)^2)+ABS((J23-5)^2))^(1/2)</f>
        <v>3</v>
      </c>
      <c r="M23" s="12"/>
      <c r="P23" s="14">
        <v>16</v>
      </c>
      <c r="Q23" s="14">
        <v>6</v>
      </c>
      <c r="R23" s="14">
        <v>8</v>
      </c>
      <c r="S23" s="14" t="s">
        <v>9</v>
      </c>
      <c r="T23" s="9">
        <f>((ABS(Q23-6)^2)+(ABS(R23-5)^2))^(1/2)</f>
        <v>3</v>
      </c>
      <c r="U23" s="12"/>
      <c r="V23" s="33"/>
      <c r="W23" s="33"/>
      <c r="X23" s="33"/>
      <c r="Y23" s="33"/>
      <c r="Z23" s="33"/>
      <c r="AA23" s="33"/>
      <c r="AC23" s="4">
        <v>12</v>
      </c>
      <c r="AD23" s="4">
        <v>2</v>
      </c>
      <c r="AE23" s="4">
        <v>6</v>
      </c>
      <c r="AF23" s="22" t="s">
        <v>9</v>
      </c>
      <c r="AG23" s="23" t="str">
        <f t="shared" si="0"/>
        <v/>
      </c>
      <c r="AH23" s="23" t="str">
        <f t="shared" si="1"/>
        <v/>
      </c>
      <c r="AI23" s="23">
        <f t="shared" si="2"/>
        <v>2</v>
      </c>
      <c r="AJ23" s="23">
        <f t="shared" si="3"/>
        <v>6</v>
      </c>
      <c r="AK23">
        <v>6</v>
      </c>
      <c r="AL23">
        <v>5</v>
      </c>
    </row>
    <row r="24" spans="3:38" ht="15.75" customHeight="1" x14ac:dyDescent="0.35">
      <c r="C24" s="4">
        <v>19</v>
      </c>
      <c r="D24" s="4">
        <v>9</v>
      </c>
      <c r="E24" s="4">
        <v>10</v>
      </c>
      <c r="F24" s="4" t="s">
        <v>9</v>
      </c>
      <c r="H24" s="4">
        <v>16</v>
      </c>
      <c r="I24" s="4">
        <v>6</v>
      </c>
      <c r="J24" s="4">
        <v>8</v>
      </c>
      <c r="K24" s="4" t="s">
        <v>9</v>
      </c>
      <c r="L24" s="8">
        <f>((ABS(I24-6)^2)+ABS((J24-5)^2))^(1/2)</f>
        <v>3</v>
      </c>
      <c r="M24" s="12"/>
      <c r="P24" s="14">
        <v>9</v>
      </c>
      <c r="Q24" s="14">
        <v>9</v>
      </c>
      <c r="R24" s="14">
        <v>5</v>
      </c>
      <c r="S24" s="14" t="s">
        <v>9</v>
      </c>
      <c r="T24" s="9">
        <f>((ABS(Q24-6)^2)+(ABS(R24-5)^2))^(1/2)</f>
        <v>3</v>
      </c>
      <c r="U24" s="12"/>
      <c r="AC24" s="4">
        <v>13</v>
      </c>
      <c r="AD24" s="4">
        <v>3</v>
      </c>
      <c r="AE24" s="4">
        <v>7</v>
      </c>
      <c r="AF24" s="22" t="s">
        <v>7</v>
      </c>
      <c r="AG24" s="23">
        <f t="shared" si="0"/>
        <v>3</v>
      </c>
      <c r="AH24" s="23">
        <f t="shared" si="1"/>
        <v>7</v>
      </c>
      <c r="AI24" s="23" t="str">
        <f t="shared" si="2"/>
        <v/>
      </c>
      <c r="AJ24" s="23" t="str">
        <f t="shared" si="3"/>
        <v/>
      </c>
      <c r="AK24">
        <v>6</v>
      </c>
      <c r="AL24">
        <v>5</v>
      </c>
    </row>
    <row r="25" spans="3:38" ht="15.75" customHeight="1" x14ac:dyDescent="0.35">
      <c r="C25" s="4">
        <v>20</v>
      </c>
      <c r="D25" s="4">
        <v>10</v>
      </c>
      <c r="E25" s="4">
        <v>10</v>
      </c>
      <c r="F25" s="4" t="s">
        <v>7</v>
      </c>
      <c r="H25" s="4">
        <v>15</v>
      </c>
      <c r="I25" s="4">
        <v>5</v>
      </c>
      <c r="J25" s="4">
        <v>8</v>
      </c>
      <c r="K25" s="4" t="s">
        <v>9</v>
      </c>
      <c r="L25" s="8">
        <f>((ABS(I25-6)^2)+ABS((J25-5)^2))^(1/2)</f>
        <v>3.1622776601683795</v>
      </c>
      <c r="M25" s="12"/>
      <c r="P25" s="14">
        <v>15</v>
      </c>
      <c r="Q25" s="14">
        <v>5</v>
      </c>
      <c r="R25" s="14">
        <v>8</v>
      </c>
      <c r="S25" s="14" t="s">
        <v>9</v>
      </c>
      <c r="T25" s="9">
        <f>((ABS(Q25-6)^2)+(ABS(R25-5)^2))^(1/2)</f>
        <v>3.1622776601683795</v>
      </c>
      <c r="U25" s="12"/>
      <c r="W25" s="17"/>
      <c r="AC25" s="4">
        <v>14</v>
      </c>
      <c r="AD25" s="4">
        <v>4</v>
      </c>
      <c r="AE25" s="4">
        <v>7</v>
      </c>
      <c r="AF25" s="22" t="s">
        <v>7</v>
      </c>
      <c r="AG25" s="23">
        <f t="shared" si="0"/>
        <v>4</v>
      </c>
      <c r="AH25" s="23">
        <f t="shared" si="1"/>
        <v>7</v>
      </c>
      <c r="AI25" s="23" t="str">
        <f t="shared" si="2"/>
        <v/>
      </c>
      <c r="AJ25" s="23" t="str">
        <f t="shared" si="3"/>
        <v/>
      </c>
      <c r="AK25">
        <v>6</v>
      </c>
      <c r="AL25">
        <v>5</v>
      </c>
    </row>
    <row r="26" spans="3:38" ht="15" customHeight="1" x14ac:dyDescent="0.35">
      <c r="C26" s="6">
        <v>21</v>
      </c>
      <c r="D26" s="6">
        <v>4</v>
      </c>
      <c r="E26" s="6">
        <v>5</v>
      </c>
      <c r="F26" s="6" t="s">
        <v>13</v>
      </c>
      <c r="H26" s="4">
        <v>4</v>
      </c>
      <c r="I26" s="4">
        <v>4</v>
      </c>
      <c r="J26" s="4">
        <v>2</v>
      </c>
      <c r="K26" s="4" t="s">
        <v>9</v>
      </c>
      <c r="L26" s="8">
        <f>((ABS(I26-6)^2)+ABS((J26-5)^2))^(1/2)</f>
        <v>3.6055512754639891</v>
      </c>
      <c r="M26" s="12"/>
      <c r="P26" s="14">
        <v>13</v>
      </c>
      <c r="Q26" s="14">
        <v>3</v>
      </c>
      <c r="R26" s="14">
        <v>7</v>
      </c>
      <c r="S26" s="14" t="s">
        <v>7</v>
      </c>
      <c r="T26" s="9">
        <f>((ABS(Q26-6)^2)+(ABS(R26-5)^2))^(1/2)</f>
        <v>3.6055512754639891</v>
      </c>
      <c r="U26" s="12"/>
      <c r="W26" s="19"/>
      <c r="X26" s="19"/>
      <c r="Y26" s="19"/>
      <c r="Z26" s="19"/>
      <c r="AA26" s="19"/>
      <c r="AB26" s="20"/>
      <c r="AC26" s="4">
        <v>15</v>
      </c>
      <c r="AD26" s="4">
        <v>5</v>
      </c>
      <c r="AE26" s="4">
        <v>8</v>
      </c>
      <c r="AF26" s="22" t="s">
        <v>9</v>
      </c>
      <c r="AG26" s="23" t="str">
        <f t="shared" si="0"/>
        <v/>
      </c>
      <c r="AH26" s="23" t="str">
        <f t="shared" si="1"/>
        <v/>
      </c>
      <c r="AI26" s="23">
        <f t="shared" si="2"/>
        <v>5</v>
      </c>
      <c r="AJ26" s="23">
        <f t="shared" si="3"/>
        <v>8</v>
      </c>
      <c r="AK26">
        <v>6</v>
      </c>
      <c r="AL26">
        <v>5</v>
      </c>
    </row>
    <row r="27" spans="3:38" ht="15.75" customHeight="1" x14ac:dyDescent="0.35">
      <c r="H27" s="4">
        <v>13</v>
      </c>
      <c r="I27" s="4">
        <v>3</v>
      </c>
      <c r="J27" s="4">
        <v>7</v>
      </c>
      <c r="K27" s="4" t="s">
        <v>7</v>
      </c>
      <c r="L27" s="8">
        <f>((ABS(I27-6)^2)+ABS((J27-5)^2))^(1/2)</f>
        <v>3.6055512754639891</v>
      </c>
      <c r="M27" s="12"/>
      <c r="P27" s="14">
        <v>4</v>
      </c>
      <c r="Q27" s="14">
        <v>4</v>
      </c>
      <c r="R27" s="14">
        <v>2</v>
      </c>
      <c r="S27" s="14" t="s">
        <v>9</v>
      </c>
      <c r="T27" s="9">
        <f>((ABS(Q27-6)^2)+(ABS(R27-5)^2))^(1/2)</f>
        <v>3.6055512754639891</v>
      </c>
      <c r="U27" s="12"/>
      <c r="W27" s="19"/>
      <c r="X27" s="19"/>
      <c r="Y27" s="19"/>
      <c r="Z27" s="19"/>
      <c r="AA27" s="19"/>
      <c r="AB27" s="20"/>
      <c r="AC27" s="4">
        <v>16</v>
      </c>
      <c r="AD27" s="4">
        <v>6</v>
      </c>
      <c r="AE27" s="4">
        <v>8</v>
      </c>
      <c r="AF27" s="22" t="s">
        <v>9</v>
      </c>
      <c r="AG27" s="23" t="str">
        <f t="shared" si="0"/>
        <v/>
      </c>
      <c r="AH27" s="23" t="str">
        <f t="shared" si="1"/>
        <v/>
      </c>
      <c r="AI27" s="23">
        <f t="shared" si="2"/>
        <v>6</v>
      </c>
      <c r="AJ27" s="23">
        <f t="shared" si="3"/>
        <v>8</v>
      </c>
      <c r="AK27">
        <v>6</v>
      </c>
      <c r="AL27">
        <v>5</v>
      </c>
    </row>
    <row r="28" spans="3:38" ht="15.75" customHeight="1" x14ac:dyDescent="0.35">
      <c r="H28" s="4">
        <v>10</v>
      </c>
      <c r="I28" s="4">
        <v>10</v>
      </c>
      <c r="J28" s="4">
        <v>5</v>
      </c>
      <c r="K28" s="4" t="s">
        <v>7</v>
      </c>
      <c r="L28" s="8">
        <f>((ABS(I28-6)^2)+ABS((J28-5)^2))^(1/2)</f>
        <v>4</v>
      </c>
      <c r="M28" s="12"/>
      <c r="P28" s="14">
        <v>10</v>
      </c>
      <c r="Q28" s="14">
        <v>10</v>
      </c>
      <c r="R28" s="14">
        <v>5</v>
      </c>
      <c r="S28" s="14" t="s">
        <v>7</v>
      </c>
      <c r="T28" s="9">
        <f>((ABS(Q28-6)^2)+(ABS(R28-5)^2))^(1/2)</f>
        <v>4</v>
      </c>
      <c r="U28" s="12"/>
      <c r="AC28" s="4">
        <v>17</v>
      </c>
      <c r="AD28" s="4">
        <v>7</v>
      </c>
      <c r="AE28" s="4">
        <v>9</v>
      </c>
      <c r="AF28" s="22" t="s">
        <v>7</v>
      </c>
      <c r="AG28" s="23">
        <f t="shared" si="0"/>
        <v>7</v>
      </c>
      <c r="AH28" s="23">
        <f t="shared" si="1"/>
        <v>9</v>
      </c>
      <c r="AI28" s="23" t="str">
        <f t="shared" si="2"/>
        <v/>
      </c>
      <c r="AJ28" s="23" t="str">
        <f t="shared" si="3"/>
        <v/>
      </c>
      <c r="AK28">
        <v>6</v>
      </c>
      <c r="AL28">
        <v>5</v>
      </c>
    </row>
    <row r="29" spans="3:38" ht="15.75" customHeight="1" x14ac:dyDescent="0.35">
      <c r="H29" s="4">
        <v>12</v>
      </c>
      <c r="I29" s="4">
        <v>2</v>
      </c>
      <c r="J29" s="4">
        <v>6</v>
      </c>
      <c r="K29" s="4" t="s">
        <v>9</v>
      </c>
      <c r="L29" s="8">
        <f>((ABS(I29-6)^2)+ABS((J29-5)^2))^(1/2)</f>
        <v>4.1231056256176606</v>
      </c>
      <c r="M29" s="12"/>
      <c r="P29" s="14">
        <v>12</v>
      </c>
      <c r="Q29" s="14">
        <v>2</v>
      </c>
      <c r="R29" s="14">
        <v>6</v>
      </c>
      <c r="S29" s="14" t="s">
        <v>9</v>
      </c>
      <c r="T29" s="9">
        <f>((ABS(Q29-6)^2)+(ABS(R29-5)^2))^(1/2)</f>
        <v>4.1231056256176606</v>
      </c>
      <c r="U29" s="12"/>
      <c r="AC29" s="4">
        <v>18</v>
      </c>
      <c r="AD29" s="4">
        <v>8</v>
      </c>
      <c r="AE29" s="4">
        <v>9</v>
      </c>
      <c r="AF29" s="22" t="s">
        <v>7</v>
      </c>
      <c r="AG29" s="23">
        <f t="shared" si="0"/>
        <v>8</v>
      </c>
      <c r="AH29" s="23">
        <f t="shared" si="1"/>
        <v>9</v>
      </c>
      <c r="AI29" s="23" t="str">
        <f t="shared" si="2"/>
        <v/>
      </c>
      <c r="AJ29" s="23" t="str">
        <f t="shared" si="3"/>
        <v/>
      </c>
      <c r="AK29">
        <v>6</v>
      </c>
      <c r="AL29">
        <v>5</v>
      </c>
    </row>
    <row r="30" spans="3:38" ht="15.75" customHeight="1" x14ac:dyDescent="0.35">
      <c r="H30" s="4">
        <v>17</v>
      </c>
      <c r="I30" s="4">
        <v>7</v>
      </c>
      <c r="J30" s="4">
        <v>9</v>
      </c>
      <c r="K30" s="4" t="s">
        <v>7</v>
      </c>
      <c r="L30" s="8">
        <f>((ABS(I30-6)^2)+ABS((J30-5)^2))^(1/2)</f>
        <v>4.1231056256176606</v>
      </c>
      <c r="M30" s="12"/>
      <c r="P30" s="14">
        <v>17</v>
      </c>
      <c r="Q30" s="14">
        <v>7</v>
      </c>
      <c r="R30" s="14">
        <v>9</v>
      </c>
      <c r="S30" s="14" t="s">
        <v>7</v>
      </c>
      <c r="T30" s="9">
        <f>((ABS(Q30-6)^2)+(ABS(R30-5)^2))^(1/2)</f>
        <v>4.1231056256176606</v>
      </c>
      <c r="U30" s="12"/>
      <c r="AC30" s="4">
        <v>19</v>
      </c>
      <c r="AD30" s="4">
        <v>9</v>
      </c>
      <c r="AE30" s="4">
        <v>10</v>
      </c>
      <c r="AF30" s="22" t="s">
        <v>9</v>
      </c>
      <c r="AG30" s="23" t="str">
        <f t="shared" si="0"/>
        <v/>
      </c>
      <c r="AH30" s="23" t="str">
        <f t="shared" si="1"/>
        <v/>
      </c>
      <c r="AI30" s="23">
        <f t="shared" si="2"/>
        <v>9</v>
      </c>
      <c r="AJ30" s="23">
        <f t="shared" si="3"/>
        <v>10</v>
      </c>
      <c r="AK30">
        <v>6</v>
      </c>
      <c r="AL30">
        <v>5</v>
      </c>
    </row>
    <row r="31" spans="3:38" ht="15.75" customHeight="1" x14ac:dyDescent="0.35">
      <c r="H31" s="4">
        <v>3</v>
      </c>
      <c r="I31" s="4">
        <v>3</v>
      </c>
      <c r="J31" s="4">
        <v>2</v>
      </c>
      <c r="K31" s="4" t="s">
        <v>7</v>
      </c>
      <c r="L31" s="8">
        <f>((ABS(I31-6)^2)+ABS((J31-5)^2))^(1/2)</f>
        <v>4.2426406871192848</v>
      </c>
      <c r="M31" s="12"/>
      <c r="P31" s="14">
        <v>3</v>
      </c>
      <c r="Q31" s="14">
        <v>3</v>
      </c>
      <c r="R31" s="14">
        <v>2</v>
      </c>
      <c r="S31" s="14" t="s">
        <v>7</v>
      </c>
      <c r="T31" s="9">
        <f>((ABS(Q31-6)^2)+(ABS(R31-5)^2))^(1/2)</f>
        <v>4.2426406871192848</v>
      </c>
      <c r="U31" s="12"/>
      <c r="AC31" s="4">
        <v>20</v>
      </c>
      <c r="AD31" s="4">
        <v>10</v>
      </c>
      <c r="AE31" s="4">
        <v>10</v>
      </c>
      <c r="AF31" s="22" t="s">
        <v>7</v>
      </c>
      <c r="AG31" s="23">
        <f t="shared" si="0"/>
        <v>10</v>
      </c>
      <c r="AH31" s="23">
        <f t="shared" si="1"/>
        <v>10</v>
      </c>
      <c r="AI31" s="23" t="str">
        <f t="shared" si="2"/>
        <v/>
      </c>
      <c r="AJ31" s="23" t="str">
        <f t="shared" si="3"/>
        <v/>
      </c>
      <c r="AK31">
        <v>6</v>
      </c>
      <c r="AL31">
        <v>5</v>
      </c>
    </row>
    <row r="32" spans="3:38" ht="15.75" customHeight="1" x14ac:dyDescent="0.35">
      <c r="H32" s="4">
        <v>18</v>
      </c>
      <c r="I32" s="4">
        <v>8</v>
      </c>
      <c r="J32" s="4">
        <v>9</v>
      </c>
      <c r="K32" s="4" t="s">
        <v>7</v>
      </c>
      <c r="L32" s="8">
        <f>((ABS(I32-6)^2)+ABS((J32-5)^2))^(1/2)</f>
        <v>4.4721359549995796</v>
      </c>
      <c r="M32" s="12"/>
      <c r="P32" s="14">
        <v>18</v>
      </c>
      <c r="Q32" s="14">
        <v>8</v>
      </c>
      <c r="R32" s="14">
        <v>9</v>
      </c>
      <c r="S32" s="14" t="s">
        <v>7</v>
      </c>
      <c r="T32" s="9">
        <f>((ABS(Q32-6)^2)+(ABS(R32-5)^2))^(1/2)</f>
        <v>4.4721359549995796</v>
      </c>
      <c r="U32" s="12"/>
    </row>
    <row r="33" spans="8:35" ht="15.75" customHeight="1" x14ac:dyDescent="0.35">
      <c r="H33" s="4">
        <v>11</v>
      </c>
      <c r="I33" s="4">
        <v>1</v>
      </c>
      <c r="J33" s="4">
        <v>6</v>
      </c>
      <c r="K33" s="4" t="s">
        <v>9</v>
      </c>
      <c r="L33" s="8">
        <f>((ABS(I33-6)^2)+ABS((J33-5)^2))^(1/2)</f>
        <v>5.0990195135927845</v>
      </c>
      <c r="M33" s="12"/>
      <c r="P33" s="14">
        <v>11</v>
      </c>
      <c r="Q33" s="14">
        <v>1</v>
      </c>
      <c r="R33" s="14">
        <v>6</v>
      </c>
      <c r="S33" s="14" t="s">
        <v>9</v>
      </c>
      <c r="T33" s="9">
        <f>((ABS(Q33-6)^2)+(ABS(R33-5)^2))^(1/2)</f>
        <v>5.0990195135927845</v>
      </c>
      <c r="U33" s="12"/>
    </row>
    <row r="34" spans="8:35" ht="15.75" customHeight="1" x14ac:dyDescent="0.35">
      <c r="H34" s="4">
        <v>2</v>
      </c>
      <c r="I34" s="4">
        <v>2</v>
      </c>
      <c r="J34" s="4">
        <v>1</v>
      </c>
      <c r="K34" s="4" t="s">
        <v>7</v>
      </c>
      <c r="L34" s="8">
        <f>((ABS(I34-6)^2)+ABS((J34-5)^2))^(1/2)</f>
        <v>5.6568542494923806</v>
      </c>
      <c r="M34" s="12"/>
      <c r="P34" s="14">
        <v>2</v>
      </c>
      <c r="Q34" s="14">
        <v>2</v>
      </c>
      <c r="R34" s="14">
        <v>1</v>
      </c>
      <c r="S34" s="14" t="s">
        <v>7</v>
      </c>
      <c r="T34" s="9">
        <f>((ABS(Q34-6)^2)+(ABS(R34-5)^2))^(1/2)</f>
        <v>5.6568542494923806</v>
      </c>
      <c r="U34" s="12"/>
      <c r="AC34" s="28" t="s">
        <v>14</v>
      </c>
      <c r="AD34" s="29"/>
      <c r="AE34" s="29"/>
      <c r="AF34" s="29"/>
    </row>
    <row r="35" spans="8:35" ht="15.75" customHeight="1" x14ac:dyDescent="0.35">
      <c r="H35" s="4">
        <v>19</v>
      </c>
      <c r="I35" s="4">
        <v>9</v>
      </c>
      <c r="J35" s="4">
        <v>10</v>
      </c>
      <c r="K35" s="4" t="s">
        <v>9</v>
      </c>
      <c r="L35" s="8">
        <f>((ABS(I35-6)^2)+ABS((J35-5)^2))^(1/2)</f>
        <v>5.8309518948453007</v>
      </c>
      <c r="M35" s="12"/>
      <c r="P35" s="14">
        <v>19</v>
      </c>
      <c r="Q35" s="14">
        <v>9</v>
      </c>
      <c r="R35" s="14">
        <v>10</v>
      </c>
      <c r="S35" s="14" t="s">
        <v>9</v>
      </c>
      <c r="T35" s="9">
        <f>((ABS(Q35-6)^2)+(ABS(R35-5)^2))^(1/2)</f>
        <v>5.8309518948453007</v>
      </c>
      <c r="U35" s="12"/>
      <c r="AC35" s="29"/>
      <c r="AD35" s="29"/>
      <c r="AE35" s="29"/>
      <c r="AF35" s="29"/>
    </row>
    <row r="36" spans="8:35" ht="15.75" customHeight="1" x14ac:dyDescent="0.35">
      <c r="H36" s="4">
        <v>1</v>
      </c>
      <c r="I36" s="4">
        <v>1</v>
      </c>
      <c r="J36" s="4">
        <v>1</v>
      </c>
      <c r="K36" s="4" t="s">
        <v>7</v>
      </c>
      <c r="L36" s="8">
        <f>((ABS(I36-6)^2)+ABS((J36-5)^2))^(1/2)</f>
        <v>6.4031242374328485</v>
      </c>
      <c r="M36" s="12"/>
      <c r="P36" s="14">
        <v>1</v>
      </c>
      <c r="Q36" s="14">
        <v>1</v>
      </c>
      <c r="R36" s="14">
        <v>1</v>
      </c>
      <c r="S36" s="14" t="s">
        <v>7</v>
      </c>
      <c r="T36" s="9">
        <f>((ABS(Q36-6)^2)+(ABS(R36-5)^2))^(1/2)</f>
        <v>6.4031242374328485</v>
      </c>
      <c r="U36" s="12"/>
    </row>
    <row r="37" spans="8:35" ht="15.75" customHeight="1" x14ac:dyDescent="0.35">
      <c r="H37" s="4">
        <v>20</v>
      </c>
      <c r="I37" s="4">
        <v>10</v>
      </c>
      <c r="J37" s="4">
        <v>10</v>
      </c>
      <c r="K37" s="4" t="s">
        <v>7</v>
      </c>
      <c r="L37" s="8">
        <f>((ABS(I37-6)^2)+ABS((J37-5)^2))^(1/2)</f>
        <v>6.4031242374328485</v>
      </c>
      <c r="M37" s="12"/>
      <c r="P37" s="14">
        <v>20</v>
      </c>
      <c r="Q37" s="14">
        <v>10</v>
      </c>
      <c r="R37" s="14">
        <v>10</v>
      </c>
      <c r="S37" s="14" t="s">
        <v>7</v>
      </c>
      <c r="T37" s="9">
        <f>((ABS(Q37-6)^2)+(ABS(R37-5)^2))^(1/2)</f>
        <v>6.4031242374328485</v>
      </c>
      <c r="U37" s="12"/>
      <c r="AC37" s="2" t="s">
        <v>2</v>
      </c>
      <c r="AD37" s="2" t="s">
        <v>3</v>
      </c>
      <c r="AE37" s="2" t="s">
        <v>4</v>
      </c>
      <c r="AF37" s="2" t="s">
        <v>5</v>
      </c>
      <c r="AG37" s="25" t="s">
        <v>16</v>
      </c>
      <c r="AH37" s="27" t="s">
        <v>25</v>
      </c>
      <c r="AI37" s="27" t="s">
        <v>26</v>
      </c>
    </row>
    <row r="38" spans="8:35" ht="15.75" customHeight="1" x14ac:dyDescent="0.35">
      <c r="AC38" s="15">
        <v>14</v>
      </c>
      <c r="AD38" s="15">
        <v>4</v>
      </c>
      <c r="AE38" s="15">
        <v>7</v>
      </c>
      <c r="AF38" s="15" t="s">
        <v>7</v>
      </c>
      <c r="AG38" s="26">
        <f>((ABS(AD38-5)^2)+(ABS(AE38-6)^2))^(1/2)</f>
        <v>1.4142135623730951</v>
      </c>
      <c r="AH38" s="23">
        <f>AD38</f>
        <v>4</v>
      </c>
      <c r="AI38" s="23">
        <f>AE38</f>
        <v>7</v>
      </c>
    </row>
    <row r="39" spans="8:35" ht="15.75" customHeight="1" x14ac:dyDescent="0.35">
      <c r="AC39" s="15">
        <v>15</v>
      </c>
      <c r="AD39" s="15">
        <v>5</v>
      </c>
      <c r="AE39" s="15">
        <v>8</v>
      </c>
      <c r="AF39" s="15" t="s">
        <v>9</v>
      </c>
      <c r="AG39" s="26">
        <f>((ABS(AD39-5)^2)+(ABS(AE39-6)^2))^(1/2)</f>
        <v>2</v>
      </c>
      <c r="AH39" s="23">
        <f t="shared" ref="AH39:AI42" si="4">AD39</f>
        <v>5</v>
      </c>
      <c r="AI39" s="23">
        <f t="shared" si="4"/>
        <v>8</v>
      </c>
    </row>
    <row r="40" spans="8:35" ht="15.75" customHeight="1" x14ac:dyDescent="0.35">
      <c r="AC40" s="15">
        <v>13</v>
      </c>
      <c r="AD40" s="15">
        <v>3</v>
      </c>
      <c r="AE40" s="15">
        <v>7</v>
      </c>
      <c r="AF40" s="15" t="s">
        <v>7</v>
      </c>
      <c r="AG40" s="26">
        <f>((ABS(AD40-5)^2)+(ABS(AE40-6)^2))^(1/2)</f>
        <v>2.2360679774997898</v>
      </c>
      <c r="AH40" s="23">
        <f t="shared" si="4"/>
        <v>3</v>
      </c>
      <c r="AI40" s="23">
        <f t="shared" si="4"/>
        <v>7</v>
      </c>
    </row>
    <row r="41" spans="8:35" ht="15.75" customHeight="1" x14ac:dyDescent="0.35">
      <c r="AC41" s="15">
        <v>16</v>
      </c>
      <c r="AD41" s="15">
        <v>6</v>
      </c>
      <c r="AE41" s="15">
        <v>8</v>
      </c>
      <c r="AF41" s="15" t="s">
        <v>9</v>
      </c>
      <c r="AG41" s="26">
        <f>((ABS(AD41-5)^2)+(ABS(AE41-6)^2))^(1/2)</f>
        <v>2.2360679774997898</v>
      </c>
      <c r="AH41" s="23">
        <f t="shared" si="4"/>
        <v>6</v>
      </c>
      <c r="AI41" s="23">
        <f t="shared" si="4"/>
        <v>8</v>
      </c>
    </row>
    <row r="42" spans="8:35" ht="15.75" customHeight="1" x14ac:dyDescent="0.35">
      <c r="AC42" s="15">
        <v>7</v>
      </c>
      <c r="AD42" s="15">
        <v>7</v>
      </c>
      <c r="AE42" s="15">
        <v>4</v>
      </c>
      <c r="AF42" s="15" t="s">
        <v>7</v>
      </c>
      <c r="AG42" s="26">
        <f>((ABS(AD42-5)^2)+(ABS(AE42-6)^2))^(1/2)</f>
        <v>2.8284271247461903</v>
      </c>
      <c r="AH42" s="23">
        <f t="shared" si="4"/>
        <v>7</v>
      </c>
      <c r="AI42" s="23">
        <f t="shared" si="4"/>
        <v>4</v>
      </c>
    </row>
    <row r="43" spans="8:35" ht="15.75" customHeight="1" x14ac:dyDescent="0.35">
      <c r="AC43" s="14">
        <v>5</v>
      </c>
      <c r="AD43" s="14">
        <v>5</v>
      </c>
      <c r="AE43" s="14">
        <v>3</v>
      </c>
      <c r="AF43" s="14" t="s">
        <v>9</v>
      </c>
      <c r="AG43" s="26">
        <f>((ABS(AD43-5)^2)+(ABS(AE43-6)^2))^(1/2)</f>
        <v>3</v>
      </c>
      <c r="AH43" s="35"/>
      <c r="AI43" s="35"/>
    </row>
    <row r="44" spans="8:35" ht="15.75" customHeight="1" x14ac:dyDescent="0.35">
      <c r="AC44" s="14">
        <v>12</v>
      </c>
      <c r="AD44" s="14">
        <v>2</v>
      </c>
      <c r="AE44" s="14">
        <v>6</v>
      </c>
      <c r="AF44" s="14" t="s">
        <v>9</v>
      </c>
      <c r="AG44" s="26">
        <f>((ABS(AD44-5)^2)+(ABS(AE44-6)^2))^(1/2)</f>
        <v>3</v>
      </c>
      <c r="AH44" s="35"/>
      <c r="AI44" s="35"/>
    </row>
    <row r="45" spans="8:35" ht="15.75" customHeight="1" x14ac:dyDescent="0.35">
      <c r="AC45" s="4">
        <v>6</v>
      </c>
      <c r="AD45" s="4">
        <v>6</v>
      </c>
      <c r="AE45" s="4">
        <v>3</v>
      </c>
      <c r="AF45" s="4" t="s">
        <v>9</v>
      </c>
      <c r="AG45" s="26">
        <f>((ABS(AD45-5)^2)+(ABS(AE45-6)^2))^(1/2)</f>
        <v>3.1622776601683795</v>
      </c>
    </row>
    <row r="46" spans="8:35" ht="15.75" customHeight="1" x14ac:dyDescent="0.35">
      <c r="AC46" s="4">
        <v>8</v>
      </c>
      <c r="AD46" s="4">
        <v>8</v>
      </c>
      <c r="AE46" s="4">
        <v>4</v>
      </c>
      <c r="AF46" s="4" t="s">
        <v>7</v>
      </c>
      <c r="AG46" s="26">
        <f>((ABS(AD46-5)^2)+(ABS(AE46-6)^2))^(1/2)</f>
        <v>3.6055512754639891</v>
      </c>
    </row>
    <row r="47" spans="8:35" ht="15.75" customHeight="1" x14ac:dyDescent="0.35">
      <c r="AC47" s="4">
        <v>17</v>
      </c>
      <c r="AD47" s="4">
        <v>7</v>
      </c>
      <c r="AE47" s="4">
        <v>9</v>
      </c>
      <c r="AF47" s="4" t="s">
        <v>7</v>
      </c>
      <c r="AG47" s="26">
        <f>((ABS(AD47-5)^2)+(ABS(AE47-6)^2))^(1/2)</f>
        <v>3.6055512754639891</v>
      </c>
    </row>
    <row r="48" spans="8:35" ht="15.75" customHeight="1" x14ac:dyDescent="0.35">
      <c r="AC48" s="4">
        <v>11</v>
      </c>
      <c r="AD48" s="4">
        <v>1</v>
      </c>
      <c r="AE48" s="4">
        <v>6</v>
      </c>
      <c r="AF48" s="4" t="s">
        <v>9</v>
      </c>
      <c r="AG48" s="26">
        <f>((ABS(AD48-5)^2)+(ABS(AE48-6)^2))^(1/2)</f>
        <v>4</v>
      </c>
    </row>
    <row r="49" spans="29:33" ht="15.75" customHeight="1" x14ac:dyDescent="0.35">
      <c r="AC49" s="4">
        <v>4</v>
      </c>
      <c r="AD49" s="4">
        <v>4</v>
      </c>
      <c r="AE49" s="4">
        <v>2</v>
      </c>
      <c r="AF49" s="4" t="s">
        <v>9</v>
      </c>
      <c r="AG49" s="26">
        <f>((ABS(AD49-5)^2)+(ABS(AE49-6)^2))^(1/2)</f>
        <v>4.1231056256176606</v>
      </c>
    </row>
    <row r="50" spans="29:33" ht="15.75" customHeight="1" x14ac:dyDescent="0.35">
      <c r="AC50" s="4">
        <v>9</v>
      </c>
      <c r="AD50" s="4">
        <v>9</v>
      </c>
      <c r="AE50" s="4">
        <v>5</v>
      </c>
      <c r="AF50" s="4" t="s">
        <v>9</v>
      </c>
      <c r="AG50" s="26">
        <f>((ABS(AD50-5)^2)+(ABS(AE50-6)^2))^(1/2)</f>
        <v>4.1231056256176606</v>
      </c>
    </row>
    <row r="51" spans="29:33" ht="15.75" customHeight="1" x14ac:dyDescent="0.35">
      <c r="AC51" s="4">
        <v>18</v>
      </c>
      <c r="AD51" s="4">
        <v>8</v>
      </c>
      <c r="AE51" s="4">
        <v>9</v>
      </c>
      <c r="AF51" s="4" t="s">
        <v>7</v>
      </c>
      <c r="AG51" s="26">
        <f>((ABS(AD51-5)^2)+(ABS(AE51-6)^2))^(1/2)</f>
        <v>4.2426406871192848</v>
      </c>
    </row>
    <row r="52" spans="29:33" ht="15.75" customHeight="1" x14ac:dyDescent="0.35">
      <c r="AC52" s="4">
        <v>3</v>
      </c>
      <c r="AD52" s="4">
        <v>3</v>
      </c>
      <c r="AE52" s="4">
        <v>2</v>
      </c>
      <c r="AF52" s="4" t="s">
        <v>7</v>
      </c>
      <c r="AG52" s="26">
        <f>((ABS(AD52-5)^2)+(ABS(AE52-6)^2))^(1/2)</f>
        <v>4.4721359549995796</v>
      </c>
    </row>
    <row r="53" spans="29:33" ht="15.75" customHeight="1" x14ac:dyDescent="0.35">
      <c r="AC53" s="4">
        <v>10</v>
      </c>
      <c r="AD53" s="4">
        <v>10</v>
      </c>
      <c r="AE53" s="4">
        <v>5</v>
      </c>
      <c r="AF53" s="4" t="s">
        <v>7</v>
      </c>
      <c r="AG53" s="26">
        <f>((ABS(AD53-5)^2)+(ABS(AE53-6)^2))^(1/2)</f>
        <v>5.0990195135927845</v>
      </c>
    </row>
    <row r="54" spans="29:33" ht="15.75" customHeight="1" x14ac:dyDescent="0.35">
      <c r="AC54" s="4">
        <v>19</v>
      </c>
      <c r="AD54" s="4">
        <v>9</v>
      </c>
      <c r="AE54" s="4">
        <v>10</v>
      </c>
      <c r="AF54" s="4" t="s">
        <v>9</v>
      </c>
      <c r="AG54" s="26">
        <f>((ABS(AD54-5)^2)+(ABS(AE54-6)^2))^(1/2)</f>
        <v>5.6568542494923806</v>
      </c>
    </row>
    <row r="55" spans="29:33" ht="15.75" customHeight="1" x14ac:dyDescent="0.35">
      <c r="AC55" s="4">
        <v>2</v>
      </c>
      <c r="AD55" s="4">
        <v>2</v>
      </c>
      <c r="AE55" s="4">
        <v>1</v>
      </c>
      <c r="AF55" s="4" t="s">
        <v>7</v>
      </c>
      <c r="AG55" s="26">
        <f>((ABS(AD55-5)^2)+(ABS(AE55-6)^2))^(1/2)</f>
        <v>5.8309518948453007</v>
      </c>
    </row>
    <row r="56" spans="29:33" ht="15.75" customHeight="1" x14ac:dyDescent="0.35">
      <c r="AC56" s="4">
        <v>1</v>
      </c>
      <c r="AD56" s="4">
        <v>1</v>
      </c>
      <c r="AE56" s="4">
        <v>1</v>
      </c>
      <c r="AF56" s="4" t="s">
        <v>7</v>
      </c>
      <c r="AG56" s="26">
        <f>((ABS(AD56-5)^2)+(ABS(AE56-6)^2))^(1/2)</f>
        <v>6.4031242374328485</v>
      </c>
    </row>
    <row r="57" spans="29:33" ht="15.75" customHeight="1" x14ac:dyDescent="0.35">
      <c r="AC57" s="4">
        <v>20</v>
      </c>
      <c r="AD57" s="4">
        <v>10</v>
      </c>
      <c r="AE57" s="4">
        <v>10</v>
      </c>
      <c r="AF57" s="4" t="s">
        <v>7</v>
      </c>
      <c r="AG57" s="26">
        <f>((ABS(AD57-5)^2)+(ABS(AE57-6)^2))^(1/2)</f>
        <v>6.4031242374328485</v>
      </c>
    </row>
    <row r="58" spans="29:33" ht="15.75" customHeight="1" x14ac:dyDescent="0.35"/>
    <row r="59" spans="29:33" ht="15.75" customHeight="1" x14ac:dyDescent="0.35"/>
    <row r="60" spans="29:33" ht="15.75" customHeight="1" x14ac:dyDescent="0.35"/>
    <row r="61" spans="29:33" ht="15.75" customHeight="1" x14ac:dyDescent="0.35"/>
    <row r="62" spans="29:33" ht="15.75" customHeight="1" x14ac:dyDescent="0.35"/>
    <row r="63" spans="29:33" ht="15.75" customHeight="1" x14ac:dyDescent="0.35"/>
    <row r="64" spans="29:33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6">
    <mergeCell ref="P7:S8"/>
    <mergeCell ref="H9:I9"/>
    <mergeCell ref="AC9:AF9"/>
    <mergeCell ref="H10:N11"/>
    <mergeCell ref="V21:AA23"/>
    <mergeCell ref="AC34:AF35"/>
  </mergeCells>
  <pageMargins left="0.7" right="0.7" top="0.75" bottom="0.75" header="0" footer="0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16ED-7240-4541-82EA-88C2D86CF78C}">
  <dimension ref="C2:AL1000"/>
  <sheetViews>
    <sheetView workbookViewId="0">
      <selection activeCell="AG33" sqref="AG33"/>
    </sheetView>
  </sheetViews>
  <sheetFormatPr defaultColWidth="14.453125" defaultRowHeight="15" customHeight="1" x14ac:dyDescent="0.35"/>
  <cols>
    <col min="1" max="11" width="8.7265625" customWidth="1"/>
    <col min="12" max="13" width="14.08984375" customWidth="1"/>
    <col min="14" max="19" width="8.7265625" customWidth="1"/>
    <col min="20" max="20" width="14.08984375" customWidth="1"/>
    <col min="21" max="21" width="5.7265625" customWidth="1"/>
    <col min="22" max="32" width="8.7265625" customWidth="1"/>
    <col min="33" max="36" width="13.1796875" customWidth="1"/>
    <col min="37" max="42" width="8.7265625" customWidth="1"/>
  </cols>
  <sheetData>
    <row r="2" spans="3:38" ht="46" x14ac:dyDescent="1">
      <c r="J2" s="18" t="s">
        <v>0</v>
      </c>
    </row>
    <row r="4" spans="3:38" ht="14.5" x14ac:dyDescent="0.35">
      <c r="C4" s="1" t="s">
        <v>1</v>
      </c>
    </row>
    <row r="5" spans="3:38" ht="29" x14ac:dyDescent="0.35">
      <c r="C5" s="2" t="s">
        <v>2</v>
      </c>
      <c r="D5" s="2" t="s">
        <v>3</v>
      </c>
      <c r="E5" s="2" t="s">
        <v>4</v>
      </c>
      <c r="F5" s="2" t="s">
        <v>5</v>
      </c>
      <c r="H5" s="3" t="s">
        <v>6</v>
      </c>
      <c r="L5" s="10"/>
      <c r="M5" s="10"/>
    </row>
    <row r="6" spans="3:38" ht="14.5" x14ac:dyDescent="0.35">
      <c r="C6" s="4">
        <v>1</v>
      </c>
      <c r="D6" s="4">
        <v>1</v>
      </c>
      <c r="E6" s="4">
        <v>1</v>
      </c>
      <c r="F6" s="4" t="s">
        <v>7</v>
      </c>
      <c r="H6" s="5" t="s">
        <v>15</v>
      </c>
    </row>
    <row r="7" spans="3:38" ht="14.5" x14ac:dyDescent="0.35">
      <c r="C7" s="4">
        <v>2</v>
      </c>
      <c r="D7" s="4">
        <v>2</v>
      </c>
      <c r="E7" s="4">
        <v>1</v>
      </c>
      <c r="F7" s="4" t="s">
        <v>7</v>
      </c>
      <c r="H7" s="5" t="s">
        <v>8</v>
      </c>
      <c r="P7" s="30" t="s">
        <v>18</v>
      </c>
      <c r="Q7" s="30"/>
      <c r="R7" s="30"/>
      <c r="S7" s="30"/>
    </row>
    <row r="8" spans="3:38" ht="14.5" x14ac:dyDescent="0.35">
      <c r="C8" s="4">
        <v>3</v>
      </c>
      <c r="D8" s="4">
        <v>3</v>
      </c>
      <c r="E8" s="4">
        <v>2</v>
      </c>
      <c r="F8" s="4" t="s">
        <v>7</v>
      </c>
      <c r="P8" s="30"/>
      <c r="Q8" s="30"/>
      <c r="R8" s="30"/>
      <c r="S8" s="30"/>
    </row>
    <row r="9" spans="3:38" ht="15" customHeight="1" x14ac:dyDescent="0.35">
      <c r="C9" s="4">
        <v>4</v>
      </c>
      <c r="D9" s="4">
        <v>4</v>
      </c>
      <c r="E9" s="4">
        <v>2</v>
      </c>
      <c r="F9" s="4" t="s">
        <v>9</v>
      </c>
      <c r="H9" s="31" t="s">
        <v>10</v>
      </c>
      <c r="I9" s="29"/>
      <c r="P9" s="16" t="s">
        <v>12</v>
      </c>
      <c r="AC9" s="31" t="s">
        <v>11</v>
      </c>
      <c r="AD9" s="29"/>
      <c r="AE9" s="29"/>
      <c r="AF9" s="29"/>
    </row>
    <row r="10" spans="3:38" ht="14.5" x14ac:dyDescent="0.35">
      <c r="C10" s="4">
        <v>5</v>
      </c>
      <c r="D10" s="4">
        <v>5</v>
      </c>
      <c r="E10" s="4">
        <v>3</v>
      </c>
      <c r="F10" s="4" t="s">
        <v>9</v>
      </c>
      <c r="H10" s="32" t="s">
        <v>17</v>
      </c>
      <c r="I10" s="29"/>
      <c r="J10" s="29"/>
      <c r="K10" s="29"/>
      <c r="L10" s="29"/>
      <c r="M10" s="29"/>
      <c r="N10" s="29"/>
      <c r="P10" t="s">
        <v>19</v>
      </c>
    </row>
    <row r="11" spans="3:38" ht="14.5" x14ac:dyDescent="0.35">
      <c r="C11" s="4">
        <v>6</v>
      </c>
      <c r="D11" s="4">
        <v>6</v>
      </c>
      <c r="E11" s="4">
        <v>3</v>
      </c>
      <c r="F11" s="4" t="s">
        <v>9</v>
      </c>
      <c r="H11" s="29"/>
      <c r="I11" s="29"/>
      <c r="J11" s="29"/>
      <c r="K11" s="29"/>
      <c r="L11" s="29"/>
      <c r="M11" s="29"/>
      <c r="N11" s="29"/>
      <c r="P11" s="34" t="s">
        <v>27</v>
      </c>
      <c r="AC11" s="2" t="s">
        <v>2</v>
      </c>
      <c r="AD11" s="2" t="s">
        <v>3</v>
      </c>
      <c r="AE11" s="2" t="s">
        <v>4</v>
      </c>
      <c r="AF11" s="21" t="s">
        <v>5</v>
      </c>
      <c r="AG11" s="24" t="s">
        <v>21</v>
      </c>
      <c r="AH11" s="24" t="s">
        <v>22</v>
      </c>
      <c r="AI11" s="24" t="s">
        <v>23</v>
      </c>
      <c r="AJ11" s="24" t="s">
        <v>24</v>
      </c>
    </row>
    <row r="12" spans="3:38" ht="14.5" x14ac:dyDescent="0.35">
      <c r="C12" s="4">
        <v>7</v>
      </c>
      <c r="D12" s="4">
        <v>7</v>
      </c>
      <c r="E12" s="4">
        <v>4</v>
      </c>
      <c r="F12" s="4" t="s">
        <v>7</v>
      </c>
      <c r="H12" s="7"/>
      <c r="P12" s="34" t="s">
        <v>20</v>
      </c>
      <c r="AC12" s="4">
        <v>1</v>
      </c>
      <c r="AD12" s="4">
        <v>1</v>
      </c>
      <c r="AE12" s="4">
        <v>1</v>
      </c>
      <c r="AF12" s="22" t="s">
        <v>7</v>
      </c>
      <c r="AG12" s="23">
        <f>IF($AF12="A",$AD12,"")</f>
        <v>1</v>
      </c>
      <c r="AH12" s="23">
        <f>IF($AF12="A",$AE12,"")</f>
        <v>1</v>
      </c>
      <c r="AI12" s="23" t="str">
        <f>IF($AF12="B",$AD12,"")</f>
        <v/>
      </c>
      <c r="AJ12" s="23" t="str">
        <f>IF($AF12="B",$AE12,"")</f>
        <v/>
      </c>
      <c r="AK12">
        <v>6</v>
      </c>
      <c r="AL12">
        <v>5</v>
      </c>
    </row>
    <row r="13" spans="3:38" ht="14.5" x14ac:dyDescent="0.35">
      <c r="C13" s="4">
        <v>8</v>
      </c>
      <c r="D13" s="4">
        <v>8</v>
      </c>
      <c r="E13" s="4">
        <v>4</v>
      </c>
      <c r="F13" s="4" t="s">
        <v>7</v>
      </c>
      <c r="P13" s="34" t="s">
        <v>28</v>
      </c>
      <c r="AC13" s="4">
        <v>2</v>
      </c>
      <c r="AD13" s="4">
        <v>2</v>
      </c>
      <c r="AE13" s="4">
        <v>1</v>
      </c>
      <c r="AF13" s="22" t="s">
        <v>7</v>
      </c>
      <c r="AG13" s="23">
        <f t="shared" ref="AG13:AG31" si="0">IF($AF13="A",$AD13,"")</f>
        <v>2</v>
      </c>
      <c r="AH13" s="23">
        <f t="shared" ref="AH13:AH31" si="1">IF($AF13="A",$AE13,"")</f>
        <v>1</v>
      </c>
      <c r="AI13" s="23" t="str">
        <f t="shared" ref="AI13:AI31" si="2">IF($AF13="B",$AD13,"")</f>
        <v/>
      </c>
      <c r="AJ13" s="23" t="str">
        <f t="shared" ref="AJ13:AJ31" si="3">IF($AF13="B",$AE13,"")</f>
        <v/>
      </c>
      <c r="AK13">
        <v>6</v>
      </c>
      <c r="AL13">
        <v>5</v>
      </c>
    </row>
    <row r="14" spans="3:38" ht="14.5" x14ac:dyDescent="0.35">
      <c r="C14" s="4">
        <v>9</v>
      </c>
      <c r="D14" s="4">
        <v>9</v>
      </c>
      <c r="E14" s="4">
        <v>5</v>
      </c>
      <c r="F14" s="4" t="s">
        <v>9</v>
      </c>
      <c r="L14" s="10"/>
      <c r="P14" s="34" t="s">
        <v>29</v>
      </c>
      <c r="AC14" s="4">
        <v>3</v>
      </c>
      <c r="AD14" s="4">
        <v>3</v>
      </c>
      <c r="AE14" s="4">
        <v>2</v>
      </c>
      <c r="AF14" s="22" t="s">
        <v>7</v>
      </c>
      <c r="AG14" s="23">
        <f t="shared" si="0"/>
        <v>3</v>
      </c>
      <c r="AH14" s="23">
        <f t="shared" si="1"/>
        <v>2</v>
      </c>
      <c r="AI14" s="23" t="str">
        <f t="shared" si="2"/>
        <v/>
      </c>
      <c r="AJ14" s="23" t="str">
        <f t="shared" si="3"/>
        <v/>
      </c>
      <c r="AK14">
        <v>6</v>
      </c>
      <c r="AL14">
        <v>5</v>
      </c>
    </row>
    <row r="15" spans="3:38" ht="14.5" x14ac:dyDescent="0.35">
      <c r="C15" s="4">
        <v>10</v>
      </c>
      <c r="D15" s="4">
        <v>10</v>
      </c>
      <c r="E15" s="4">
        <v>5</v>
      </c>
      <c r="F15" s="4" t="s">
        <v>7</v>
      </c>
      <c r="P15" s="34" t="s">
        <v>30</v>
      </c>
      <c r="AC15" s="4">
        <v>4</v>
      </c>
      <c r="AD15" s="4">
        <v>4</v>
      </c>
      <c r="AE15" s="4">
        <v>2</v>
      </c>
      <c r="AF15" s="22" t="s">
        <v>9</v>
      </c>
      <c r="AG15" s="23" t="str">
        <f t="shared" si="0"/>
        <v/>
      </c>
      <c r="AH15" s="23" t="str">
        <f t="shared" si="1"/>
        <v/>
      </c>
      <c r="AI15" s="23">
        <f t="shared" si="2"/>
        <v>4</v>
      </c>
      <c r="AJ15" s="23">
        <f t="shared" si="3"/>
        <v>2</v>
      </c>
      <c r="AK15">
        <v>6</v>
      </c>
      <c r="AL15">
        <v>5</v>
      </c>
    </row>
    <row r="16" spans="3:38" ht="19.5" customHeight="1" x14ac:dyDescent="0.35">
      <c r="C16" s="4">
        <v>11</v>
      </c>
      <c r="D16" s="4">
        <v>1</v>
      </c>
      <c r="E16" s="4">
        <v>6</v>
      </c>
      <c r="F16" s="4" t="s">
        <v>9</v>
      </c>
      <c r="AC16" s="4">
        <v>5</v>
      </c>
      <c r="AD16" s="4">
        <v>5</v>
      </c>
      <c r="AE16" s="4">
        <v>3</v>
      </c>
      <c r="AF16" s="22" t="s">
        <v>9</v>
      </c>
      <c r="AG16" s="23" t="str">
        <f t="shared" si="0"/>
        <v/>
      </c>
      <c r="AH16" s="23" t="str">
        <f t="shared" si="1"/>
        <v/>
      </c>
      <c r="AI16" s="23">
        <f t="shared" si="2"/>
        <v>5</v>
      </c>
      <c r="AJ16" s="23">
        <f t="shared" si="3"/>
        <v>3</v>
      </c>
      <c r="AK16">
        <v>6</v>
      </c>
      <c r="AL16">
        <v>5</v>
      </c>
    </row>
    <row r="17" spans="3:38" ht="14.5" x14ac:dyDescent="0.35">
      <c r="C17" s="4">
        <v>12</v>
      </c>
      <c r="D17" s="4">
        <v>2</v>
      </c>
      <c r="E17" s="4">
        <v>6</v>
      </c>
      <c r="F17" s="4" t="s">
        <v>9</v>
      </c>
      <c r="H17" s="2" t="s">
        <v>2</v>
      </c>
      <c r="I17" s="2" t="s">
        <v>3</v>
      </c>
      <c r="J17" s="2" t="s">
        <v>4</v>
      </c>
      <c r="K17" s="2" t="s">
        <v>5</v>
      </c>
      <c r="L17" s="2" t="s">
        <v>16</v>
      </c>
      <c r="M17" s="11"/>
      <c r="P17" s="2" t="s">
        <v>2</v>
      </c>
      <c r="Q17" s="2" t="s">
        <v>3</v>
      </c>
      <c r="R17" s="2" t="s">
        <v>4</v>
      </c>
      <c r="S17" s="2" t="s">
        <v>5</v>
      </c>
      <c r="T17" s="2" t="s">
        <v>16</v>
      </c>
      <c r="U17" s="11"/>
      <c r="AC17" s="4">
        <v>6</v>
      </c>
      <c r="AD17" s="4">
        <v>6</v>
      </c>
      <c r="AE17" s="4">
        <v>3</v>
      </c>
      <c r="AF17" s="22" t="s">
        <v>9</v>
      </c>
      <c r="AG17" s="23" t="str">
        <f t="shared" si="0"/>
        <v/>
      </c>
      <c r="AH17" s="23" t="str">
        <f t="shared" si="1"/>
        <v/>
      </c>
      <c r="AI17" s="23">
        <f t="shared" si="2"/>
        <v>6</v>
      </c>
      <c r="AJ17" s="23">
        <f t="shared" si="3"/>
        <v>3</v>
      </c>
      <c r="AK17">
        <v>6</v>
      </c>
      <c r="AL17">
        <v>5</v>
      </c>
    </row>
    <row r="18" spans="3:38" ht="14.5" x14ac:dyDescent="0.35">
      <c r="C18" s="4">
        <v>13</v>
      </c>
      <c r="D18" s="4">
        <v>3</v>
      </c>
      <c r="E18" s="4">
        <v>7</v>
      </c>
      <c r="F18" s="4" t="s">
        <v>7</v>
      </c>
      <c r="H18" s="4">
        <v>7</v>
      </c>
      <c r="I18" s="4">
        <v>7</v>
      </c>
      <c r="J18" s="4">
        <v>4</v>
      </c>
      <c r="K18" s="4" t="s">
        <v>7</v>
      </c>
      <c r="L18" s="8">
        <f>((ABS(I18-6)^2)+ABS((J18-5)^2))^(1/2)</f>
        <v>1.4142135623730951</v>
      </c>
      <c r="M18" s="12"/>
      <c r="P18" s="15">
        <v>7</v>
      </c>
      <c r="Q18" s="15">
        <v>7</v>
      </c>
      <c r="R18" s="15">
        <v>4</v>
      </c>
      <c r="S18" s="15" t="s">
        <v>7</v>
      </c>
      <c r="T18" s="9">
        <f>((ABS(Q18-6)^2)+(ABS(R18-5)^2))^(1/2)</f>
        <v>1.4142135623730951</v>
      </c>
      <c r="U18" s="13"/>
      <c r="AC18" s="4">
        <v>7</v>
      </c>
      <c r="AD18" s="4">
        <v>7</v>
      </c>
      <c r="AE18" s="4">
        <v>4</v>
      </c>
      <c r="AF18" s="22" t="s">
        <v>7</v>
      </c>
      <c r="AG18" s="23">
        <f t="shared" si="0"/>
        <v>7</v>
      </c>
      <c r="AH18" s="23">
        <f t="shared" si="1"/>
        <v>4</v>
      </c>
      <c r="AI18" s="23" t="str">
        <f t="shared" si="2"/>
        <v/>
      </c>
      <c r="AJ18" s="23" t="str">
        <f t="shared" si="3"/>
        <v/>
      </c>
      <c r="AK18">
        <v>6</v>
      </c>
      <c r="AL18">
        <v>5</v>
      </c>
    </row>
    <row r="19" spans="3:38" ht="14.5" x14ac:dyDescent="0.35">
      <c r="C19" s="4">
        <v>14</v>
      </c>
      <c r="D19" s="4">
        <v>4</v>
      </c>
      <c r="E19" s="4">
        <v>7</v>
      </c>
      <c r="F19" s="4" t="s">
        <v>7</v>
      </c>
      <c r="H19" s="4">
        <v>6</v>
      </c>
      <c r="I19" s="4">
        <v>6</v>
      </c>
      <c r="J19" s="4">
        <v>3</v>
      </c>
      <c r="K19" s="4" t="s">
        <v>9</v>
      </c>
      <c r="L19" s="8">
        <f>((ABS(I19-6)^2)+ABS((J19-5)^2))^(1/2)</f>
        <v>2</v>
      </c>
      <c r="M19" s="12"/>
      <c r="P19" s="15">
        <v>6</v>
      </c>
      <c r="Q19" s="15">
        <v>6</v>
      </c>
      <c r="R19" s="15">
        <v>3</v>
      </c>
      <c r="S19" s="15" t="s">
        <v>9</v>
      </c>
      <c r="T19" s="9">
        <f>((ABS(Q19-6)^2)+(ABS(R19-5)^2))^(1/2)</f>
        <v>2</v>
      </c>
      <c r="U19" s="13"/>
      <c r="AC19" s="4">
        <v>8</v>
      </c>
      <c r="AD19" s="4">
        <v>8</v>
      </c>
      <c r="AE19" s="4">
        <v>4</v>
      </c>
      <c r="AF19" s="22" t="s">
        <v>7</v>
      </c>
      <c r="AG19" s="23">
        <f t="shared" si="0"/>
        <v>8</v>
      </c>
      <c r="AH19" s="23">
        <f t="shared" si="1"/>
        <v>4</v>
      </c>
      <c r="AI19" s="23" t="str">
        <f t="shared" si="2"/>
        <v/>
      </c>
      <c r="AJ19" s="23" t="str">
        <f t="shared" si="3"/>
        <v/>
      </c>
      <c r="AK19">
        <v>6</v>
      </c>
      <c r="AL19">
        <v>5</v>
      </c>
    </row>
    <row r="20" spans="3:38" ht="14.5" x14ac:dyDescent="0.35">
      <c r="C20" s="4">
        <v>15</v>
      </c>
      <c r="D20" s="4">
        <v>5</v>
      </c>
      <c r="E20" s="4">
        <v>8</v>
      </c>
      <c r="F20" s="4" t="s">
        <v>9</v>
      </c>
      <c r="H20" s="4">
        <v>5</v>
      </c>
      <c r="I20" s="4">
        <v>5</v>
      </c>
      <c r="J20" s="4">
        <v>3</v>
      </c>
      <c r="K20" s="4" t="s">
        <v>9</v>
      </c>
      <c r="L20" s="8">
        <f>((ABS(I20-6)^2)+ABS((J20-5)^2))^(1/2)</f>
        <v>2.2360679774997898</v>
      </c>
      <c r="M20" s="12"/>
      <c r="P20" s="15">
        <v>5</v>
      </c>
      <c r="Q20" s="15">
        <v>5</v>
      </c>
      <c r="R20" s="15">
        <v>3</v>
      </c>
      <c r="S20" s="15" t="s">
        <v>9</v>
      </c>
      <c r="T20" s="9">
        <f>((ABS(Q20-6)^2)+(ABS(R20-5)^2))^(1/2)</f>
        <v>2.2360679774997898</v>
      </c>
      <c r="U20" s="13"/>
      <c r="V20" s="34" t="s">
        <v>31</v>
      </c>
      <c r="AC20" s="4">
        <v>9</v>
      </c>
      <c r="AD20" s="4">
        <v>9</v>
      </c>
      <c r="AE20" s="4">
        <v>5</v>
      </c>
      <c r="AF20" s="22" t="s">
        <v>9</v>
      </c>
      <c r="AG20" s="23" t="str">
        <f t="shared" si="0"/>
        <v/>
      </c>
      <c r="AH20" s="23" t="str">
        <f t="shared" si="1"/>
        <v/>
      </c>
      <c r="AI20" s="23">
        <f t="shared" si="2"/>
        <v>9</v>
      </c>
      <c r="AJ20" s="23">
        <f t="shared" si="3"/>
        <v>5</v>
      </c>
      <c r="AK20">
        <v>6</v>
      </c>
      <c r="AL20">
        <v>5</v>
      </c>
    </row>
    <row r="21" spans="3:38" ht="15.75" customHeight="1" x14ac:dyDescent="0.35">
      <c r="C21" s="4">
        <v>16</v>
      </c>
      <c r="D21" s="4">
        <v>6</v>
      </c>
      <c r="E21" s="4">
        <v>8</v>
      </c>
      <c r="F21" s="4" t="s">
        <v>9</v>
      </c>
      <c r="H21" s="4">
        <v>8</v>
      </c>
      <c r="I21" s="4">
        <v>8</v>
      </c>
      <c r="J21" s="4">
        <v>4</v>
      </c>
      <c r="K21" s="4" t="s">
        <v>7</v>
      </c>
      <c r="L21" s="8">
        <f>((ABS(I21-6)^2)+ABS((J21-5)^2))^(1/2)</f>
        <v>2.2360679774997898</v>
      </c>
      <c r="M21" s="12"/>
      <c r="P21" s="15">
        <v>8</v>
      </c>
      <c r="Q21" s="15">
        <v>8</v>
      </c>
      <c r="R21" s="15">
        <v>4</v>
      </c>
      <c r="S21" s="15" t="s">
        <v>7</v>
      </c>
      <c r="T21" s="9">
        <f>((ABS(Q21-6)^2)+(ABS(R21-5)^2))^(1/2)</f>
        <v>2.2360679774997898</v>
      </c>
      <c r="U21" s="12"/>
      <c r="V21" s="33" t="s">
        <v>32</v>
      </c>
      <c r="W21" s="33"/>
      <c r="X21" s="33"/>
      <c r="Y21" s="33"/>
      <c r="Z21" s="33"/>
      <c r="AA21" s="33"/>
      <c r="AC21" s="4">
        <v>10</v>
      </c>
      <c r="AD21" s="4">
        <v>10</v>
      </c>
      <c r="AE21" s="4">
        <v>5</v>
      </c>
      <c r="AF21" s="22" t="s">
        <v>7</v>
      </c>
      <c r="AG21" s="23">
        <f t="shared" si="0"/>
        <v>10</v>
      </c>
      <c r="AH21" s="23">
        <f t="shared" si="1"/>
        <v>5</v>
      </c>
      <c r="AI21" s="23" t="str">
        <f t="shared" si="2"/>
        <v/>
      </c>
      <c r="AJ21" s="23" t="str">
        <f t="shared" si="3"/>
        <v/>
      </c>
      <c r="AK21">
        <v>6</v>
      </c>
      <c r="AL21">
        <v>5</v>
      </c>
    </row>
    <row r="22" spans="3:38" ht="15.75" customHeight="1" x14ac:dyDescent="0.35">
      <c r="C22" s="4">
        <v>17</v>
      </c>
      <c r="D22" s="4">
        <v>7</v>
      </c>
      <c r="E22" s="4">
        <v>9</v>
      </c>
      <c r="F22" s="4" t="s">
        <v>7</v>
      </c>
      <c r="H22" s="4">
        <v>14</v>
      </c>
      <c r="I22" s="4">
        <v>4</v>
      </c>
      <c r="J22" s="4">
        <v>7</v>
      </c>
      <c r="K22" s="4" t="s">
        <v>7</v>
      </c>
      <c r="L22" s="8">
        <f>((ABS(I22-6)^2)+ABS((J22-5)^2))^(1/2)</f>
        <v>2.8284271247461903</v>
      </c>
      <c r="M22" s="12"/>
      <c r="P22" s="15">
        <v>14</v>
      </c>
      <c r="Q22" s="15">
        <v>4</v>
      </c>
      <c r="R22" s="15">
        <v>7</v>
      </c>
      <c r="S22" s="15" t="s">
        <v>7</v>
      </c>
      <c r="T22" s="9">
        <f>((ABS(Q22-6)^2)+(ABS(R22-5)^2))^(1/2)</f>
        <v>2.8284271247461903</v>
      </c>
      <c r="U22" s="12"/>
      <c r="V22" s="33"/>
      <c r="W22" s="33"/>
      <c r="X22" s="33"/>
      <c r="Y22" s="33"/>
      <c r="Z22" s="33"/>
      <c r="AA22" s="33"/>
      <c r="AC22" s="4">
        <v>11</v>
      </c>
      <c r="AD22" s="4">
        <v>1</v>
      </c>
      <c r="AE22" s="4">
        <v>6</v>
      </c>
      <c r="AF22" s="22" t="s">
        <v>9</v>
      </c>
      <c r="AG22" s="23" t="str">
        <f t="shared" si="0"/>
        <v/>
      </c>
      <c r="AH22" s="23" t="str">
        <f t="shared" si="1"/>
        <v/>
      </c>
      <c r="AI22" s="23">
        <f t="shared" si="2"/>
        <v>1</v>
      </c>
      <c r="AJ22" s="23">
        <f t="shared" si="3"/>
        <v>6</v>
      </c>
      <c r="AK22">
        <v>6</v>
      </c>
      <c r="AL22">
        <v>5</v>
      </c>
    </row>
    <row r="23" spans="3:38" ht="15.75" customHeight="1" x14ac:dyDescent="0.35">
      <c r="C23" s="4">
        <v>18</v>
      </c>
      <c r="D23" s="4">
        <v>8</v>
      </c>
      <c r="E23" s="4">
        <v>9</v>
      </c>
      <c r="F23" s="4" t="s">
        <v>7</v>
      </c>
      <c r="H23" s="4">
        <v>9</v>
      </c>
      <c r="I23" s="4">
        <v>9</v>
      </c>
      <c r="J23" s="4">
        <v>5</v>
      </c>
      <c r="K23" s="4" t="s">
        <v>9</v>
      </c>
      <c r="L23" s="8">
        <f>((ABS(I23-6)^2)+ABS((J23-5)^2))^(1/2)</f>
        <v>3</v>
      </c>
      <c r="M23" s="12"/>
      <c r="P23" s="14">
        <v>16</v>
      </c>
      <c r="Q23" s="14">
        <v>6</v>
      </c>
      <c r="R23" s="14">
        <v>8</v>
      </c>
      <c r="S23" s="14" t="s">
        <v>9</v>
      </c>
      <c r="T23" s="9">
        <f>((ABS(Q23-6)^2)+(ABS(R23-5)^2))^(1/2)</f>
        <v>3</v>
      </c>
      <c r="U23" s="12"/>
      <c r="V23" s="33"/>
      <c r="W23" s="33"/>
      <c r="X23" s="33"/>
      <c r="Y23" s="33"/>
      <c r="Z23" s="33"/>
      <c r="AA23" s="33"/>
      <c r="AC23" s="4">
        <v>12</v>
      </c>
      <c r="AD23" s="4">
        <v>2</v>
      </c>
      <c r="AE23" s="4">
        <v>6</v>
      </c>
      <c r="AF23" s="22" t="s">
        <v>9</v>
      </c>
      <c r="AG23" s="23" t="str">
        <f t="shared" si="0"/>
        <v/>
      </c>
      <c r="AH23" s="23" t="str">
        <f t="shared" si="1"/>
        <v/>
      </c>
      <c r="AI23" s="23">
        <f t="shared" si="2"/>
        <v>2</v>
      </c>
      <c r="AJ23" s="23">
        <f t="shared" si="3"/>
        <v>6</v>
      </c>
      <c r="AK23">
        <v>6</v>
      </c>
      <c r="AL23">
        <v>5</v>
      </c>
    </row>
    <row r="24" spans="3:38" ht="15.75" customHeight="1" x14ac:dyDescent="0.35">
      <c r="C24" s="4">
        <v>19</v>
      </c>
      <c r="D24" s="4">
        <v>9</v>
      </c>
      <c r="E24" s="4">
        <v>10</v>
      </c>
      <c r="F24" s="4" t="s">
        <v>9</v>
      </c>
      <c r="H24" s="4">
        <v>16</v>
      </c>
      <c r="I24" s="4">
        <v>6</v>
      </c>
      <c r="J24" s="4">
        <v>8</v>
      </c>
      <c r="K24" s="4" t="s">
        <v>9</v>
      </c>
      <c r="L24" s="8">
        <f>((ABS(I24-6)^2)+ABS((J24-5)^2))^(1/2)</f>
        <v>3</v>
      </c>
      <c r="M24" s="12"/>
      <c r="P24" s="14">
        <v>9</v>
      </c>
      <c r="Q24" s="14">
        <v>9</v>
      </c>
      <c r="R24" s="14">
        <v>5</v>
      </c>
      <c r="S24" s="14" t="s">
        <v>9</v>
      </c>
      <c r="T24" s="9">
        <f>((ABS(Q24-6)^2)+(ABS(R24-5)^2))^(1/2)</f>
        <v>3</v>
      </c>
      <c r="U24" s="12"/>
      <c r="AC24" s="4">
        <v>13</v>
      </c>
      <c r="AD24" s="4">
        <v>3</v>
      </c>
      <c r="AE24" s="4">
        <v>7</v>
      </c>
      <c r="AF24" s="22" t="s">
        <v>7</v>
      </c>
      <c r="AG24" s="23">
        <f t="shared" si="0"/>
        <v>3</v>
      </c>
      <c r="AH24" s="23">
        <f t="shared" si="1"/>
        <v>7</v>
      </c>
      <c r="AI24" s="23" t="str">
        <f t="shared" si="2"/>
        <v/>
      </c>
      <c r="AJ24" s="23" t="str">
        <f t="shared" si="3"/>
        <v/>
      </c>
      <c r="AK24">
        <v>6</v>
      </c>
      <c r="AL24">
        <v>5</v>
      </c>
    </row>
    <row r="25" spans="3:38" ht="15.75" customHeight="1" x14ac:dyDescent="0.35">
      <c r="C25" s="4">
        <v>20</v>
      </c>
      <c r="D25" s="4">
        <v>10</v>
      </c>
      <c r="E25" s="4">
        <v>10</v>
      </c>
      <c r="F25" s="4" t="s">
        <v>7</v>
      </c>
      <c r="H25" s="4">
        <v>15</v>
      </c>
      <c r="I25" s="4">
        <v>5</v>
      </c>
      <c r="J25" s="4">
        <v>8</v>
      </c>
      <c r="K25" s="4" t="s">
        <v>9</v>
      </c>
      <c r="L25" s="8">
        <f>((ABS(I25-6)^2)+ABS((J25-5)^2))^(1/2)</f>
        <v>3.1622776601683795</v>
      </c>
      <c r="M25" s="12"/>
      <c r="P25" s="14">
        <v>15</v>
      </c>
      <c r="Q25" s="14">
        <v>5</v>
      </c>
      <c r="R25" s="14">
        <v>8</v>
      </c>
      <c r="S25" s="14" t="s">
        <v>9</v>
      </c>
      <c r="T25" s="9">
        <f>((ABS(Q25-6)^2)+(ABS(R25-5)^2))^(1/2)</f>
        <v>3.1622776601683795</v>
      </c>
      <c r="U25" s="12"/>
      <c r="W25" s="17"/>
      <c r="AC25" s="4">
        <v>14</v>
      </c>
      <c r="AD25" s="4">
        <v>4</v>
      </c>
      <c r="AE25" s="4">
        <v>7</v>
      </c>
      <c r="AF25" s="22" t="s">
        <v>7</v>
      </c>
      <c r="AG25" s="23">
        <f t="shared" si="0"/>
        <v>4</v>
      </c>
      <c r="AH25" s="23">
        <f t="shared" si="1"/>
        <v>7</v>
      </c>
      <c r="AI25" s="23" t="str">
        <f t="shared" si="2"/>
        <v/>
      </c>
      <c r="AJ25" s="23" t="str">
        <f t="shared" si="3"/>
        <v/>
      </c>
      <c r="AK25">
        <v>6</v>
      </c>
      <c r="AL25">
        <v>5</v>
      </c>
    </row>
    <row r="26" spans="3:38" ht="15" customHeight="1" x14ac:dyDescent="0.35">
      <c r="C26" s="6">
        <v>21</v>
      </c>
      <c r="D26" s="6">
        <v>4</v>
      </c>
      <c r="E26" s="6">
        <v>5</v>
      </c>
      <c r="F26" s="6" t="s">
        <v>13</v>
      </c>
      <c r="H26" s="4">
        <v>4</v>
      </c>
      <c r="I26" s="4">
        <v>4</v>
      </c>
      <c r="J26" s="4">
        <v>2</v>
      </c>
      <c r="K26" s="4" t="s">
        <v>9</v>
      </c>
      <c r="L26" s="8">
        <f>((ABS(I26-6)^2)+ABS((J26-5)^2))^(1/2)</f>
        <v>3.6055512754639891</v>
      </c>
      <c r="M26" s="12"/>
      <c r="P26" s="14">
        <v>13</v>
      </c>
      <c r="Q26" s="14">
        <v>3</v>
      </c>
      <c r="R26" s="14">
        <v>7</v>
      </c>
      <c r="S26" s="14" t="s">
        <v>7</v>
      </c>
      <c r="T26" s="9">
        <f>((ABS(Q26-6)^2)+(ABS(R26-5)^2))^(1/2)</f>
        <v>3.6055512754639891</v>
      </c>
      <c r="U26" s="12"/>
      <c r="W26" s="19"/>
      <c r="X26" s="19"/>
      <c r="Y26" s="19"/>
      <c r="Z26" s="19"/>
      <c r="AA26" s="19"/>
      <c r="AB26" s="20"/>
      <c r="AC26" s="4">
        <v>15</v>
      </c>
      <c r="AD26" s="4">
        <v>5</v>
      </c>
      <c r="AE26" s="4">
        <v>8</v>
      </c>
      <c r="AF26" s="22" t="s">
        <v>9</v>
      </c>
      <c r="AG26" s="23" t="str">
        <f t="shared" si="0"/>
        <v/>
      </c>
      <c r="AH26" s="23" t="str">
        <f t="shared" si="1"/>
        <v/>
      </c>
      <c r="AI26" s="23">
        <f t="shared" si="2"/>
        <v>5</v>
      </c>
      <c r="AJ26" s="23">
        <f t="shared" si="3"/>
        <v>8</v>
      </c>
      <c r="AK26">
        <v>6</v>
      </c>
      <c r="AL26">
        <v>5</v>
      </c>
    </row>
    <row r="27" spans="3:38" ht="15.75" customHeight="1" x14ac:dyDescent="0.35">
      <c r="H27" s="4">
        <v>13</v>
      </c>
      <c r="I27" s="4">
        <v>3</v>
      </c>
      <c r="J27" s="4">
        <v>7</v>
      </c>
      <c r="K27" s="4" t="s">
        <v>7</v>
      </c>
      <c r="L27" s="8">
        <f>((ABS(I27-6)^2)+ABS((J27-5)^2))^(1/2)</f>
        <v>3.6055512754639891</v>
      </c>
      <c r="M27" s="12"/>
      <c r="P27" s="14">
        <v>4</v>
      </c>
      <c r="Q27" s="14">
        <v>4</v>
      </c>
      <c r="R27" s="14">
        <v>2</v>
      </c>
      <c r="S27" s="14" t="s">
        <v>9</v>
      </c>
      <c r="T27" s="9">
        <f>((ABS(Q27-6)^2)+(ABS(R27-5)^2))^(1/2)</f>
        <v>3.6055512754639891</v>
      </c>
      <c r="U27" s="12"/>
      <c r="W27" s="19"/>
      <c r="X27" s="19"/>
      <c r="Y27" s="19"/>
      <c r="Z27" s="19"/>
      <c r="AA27" s="19"/>
      <c r="AB27" s="20"/>
      <c r="AC27" s="4">
        <v>16</v>
      </c>
      <c r="AD27" s="4">
        <v>6</v>
      </c>
      <c r="AE27" s="4">
        <v>8</v>
      </c>
      <c r="AF27" s="22" t="s">
        <v>9</v>
      </c>
      <c r="AG27" s="23" t="str">
        <f t="shared" si="0"/>
        <v/>
      </c>
      <c r="AH27" s="23" t="str">
        <f t="shared" si="1"/>
        <v/>
      </c>
      <c r="AI27" s="23">
        <f t="shared" si="2"/>
        <v>6</v>
      </c>
      <c r="AJ27" s="23">
        <f t="shared" si="3"/>
        <v>8</v>
      </c>
      <c r="AK27">
        <v>6</v>
      </c>
      <c r="AL27">
        <v>5</v>
      </c>
    </row>
    <row r="28" spans="3:38" ht="15.75" customHeight="1" x14ac:dyDescent="0.35">
      <c r="H28" s="4">
        <v>10</v>
      </c>
      <c r="I28" s="4">
        <v>10</v>
      </c>
      <c r="J28" s="4">
        <v>5</v>
      </c>
      <c r="K28" s="4" t="s">
        <v>7</v>
      </c>
      <c r="L28" s="8">
        <f>((ABS(I28-6)^2)+ABS((J28-5)^2))^(1/2)</f>
        <v>4</v>
      </c>
      <c r="M28" s="12"/>
      <c r="P28" s="14">
        <v>10</v>
      </c>
      <c r="Q28" s="14">
        <v>10</v>
      </c>
      <c r="R28" s="14">
        <v>5</v>
      </c>
      <c r="S28" s="14" t="s">
        <v>7</v>
      </c>
      <c r="T28" s="9">
        <f>((ABS(Q28-6)^2)+(ABS(R28-5)^2))^(1/2)</f>
        <v>4</v>
      </c>
      <c r="U28" s="12"/>
      <c r="AC28" s="4">
        <v>17</v>
      </c>
      <c r="AD28" s="4">
        <v>7</v>
      </c>
      <c r="AE28" s="4">
        <v>9</v>
      </c>
      <c r="AF28" s="22" t="s">
        <v>7</v>
      </c>
      <c r="AG28" s="23">
        <f t="shared" si="0"/>
        <v>7</v>
      </c>
      <c r="AH28" s="23">
        <f t="shared" si="1"/>
        <v>9</v>
      </c>
      <c r="AI28" s="23" t="str">
        <f t="shared" si="2"/>
        <v/>
      </c>
      <c r="AJ28" s="23" t="str">
        <f t="shared" si="3"/>
        <v/>
      </c>
      <c r="AK28">
        <v>6</v>
      </c>
      <c r="AL28">
        <v>5</v>
      </c>
    </row>
    <row r="29" spans="3:38" ht="15.75" customHeight="1" x14ac:dyDescent="0.35">
      <c r="H29" s="4">
        <v>12</v>
      </c>
      <c r="I29" s="4">
        <v>2</v>
      </c>
      <c r="J29" s="4">
        <v>6</v>
      </c>
      <c r="K29" s="4" t="s">
        <v>9</v>
      </c>
      <c r="L29" s="8">
        <f>((ABS(I29-6)^2)+ABS((J29-5)^2))^(1/2)</f>
        <v>4.1231056256176606</v>
      </c>
      <c r="M29" s="12"/>
      <c r="P29" s="14">
        <v>12</v>
      </c>
      <c r="Q29" s="14">
        <v>2</v>
      </c>
      <c r="R29" s="14">
        <v>6</v>
      </c>
      <c r="S29" s="14" t="s">
        <v>9</v>
      </c>
      <c r="T29" s="9">
        <f>((ABS(Q29-6)^2)+(ABS(R29-5)^2))^(1/2)</f>
        <v>4.1231056256176606</v>
      </c>
      <c r="U29" s="12"/>
      <c r="AC29" s="4">
        <v>18</v>
      </c>
      <c r="AD29" s="4">
        <v>8</v>
      </c>
      <c r="AE29" s="4">
        <v>9</v>
      </c>
      <c r="AF29" s="22" t="s">
        <v>7</v>
      </c>
      <c r="AG29" s="23">
        <f t="shared" si="0"/>
        <v>8</v>
      </c>
      <c r="AH29" s="23">
        <f t="shared" si="1"/>
        <v>9</v>
      </c>
      <c r="AI29" s="23" t="str">
        <f t="shared" si="2"/>
        <v/>
      </c>
      <c r="AJ29" s="23" t="str">
        <f t="shared" si="3"/>
        <v/>
      </c>
      <c r="AK29">
        <v>6</v>
      </c>
      <c r="AL29">
        <v>5</v>
      </c>
    </row>
    <row r="30" spans="3:38" ht="15.75" customHeight="1" x14ac:dyDescent="0.35">
      <c r="H30" s="4">
        <v>17</v>
      </c>
      <c r="I30" s="4">
        <v>7</v>
      </c>
      <c r="J30" s="4">
        <v>9</v>
      </c>
      <c r="K30" s="4" t="s">
        <v>7</v>
      </c>
      <c r="L30" s="8">
        <f>((ABS(I30-6)^2)+ABS((J30-5)^2))^(1/2)</f>
        <v>4.1231056256176606</v>
      </c>
      <c r="M30" s="12"/>
      <c r="P30" s="14">
        <v>17</v>
      </c>
      <c r="Q30" s="14">
        <v>7</v>
      </c>
      <c r="R30" s="14">
        <v>9</v>
      </c>
      <c r="S30" s="14" t="s">
        <v>7</v>
      </c>
      <c r="T30" s="9">
        <f>((ABS(Q30-6)^2)+(ABS(R30-5)^2))^(1/2)</f>
        <v>4.1231056256176606</v>
      </c>
      <c r="U30" s="12"/>
      <c r="AC30" s="4">
        <v>19</v>
      </c>
      <c r="AD30" s="4">
        <v>9</v>
      </c>
      <c r="AE30" s="4">
        <v>10</v>
      </c>
      <c r="AF30" s="22" t="s">
        <v>9</v>
      </c>
      <c r="AG30" s="23" t="str">
        <f t="shared" si="0"/>
        <v/>
      </c>
      <c r="AH30" s="23" t="str">
        <f t="shared" si="1"/>
        <v/>
      </c>
      <c r="AI30" s="23">
        <f t="shared" si="2"/>
        <v>9</v>
      </c>
      <c r="AJ30" s="23">
        <f t="shared" si="3"/>
        <v>10</v>
      </c>
      <c r="AK30">
        <v>6</v>
      </c>
      <c r="AL30">
        <v>5</v>
      </c>
    </row>
    <row r="31" spans="3:38" ht="15.75" customHeight="1" x14ac:dyDescent="0.35">
      <c r="H31" s="4">
        <v>3</v>
      </c>
      <c r="I31" s="4">
        <v>3</v>
      </c>
      <c r="J31" s="4">
        <v>2</v>
      </c>
      <c r="K31" s="4" t="s">
        <v>7</v>
      </c>
      <c r="L31" s="8">
        <f>((ABS(I31-6)^2)+ABS((J31-5)^2))^(1/2)</f>
        <v>4.2426406871192848</v>
      </c>
      <c r="M31" s="12"/>
      <c r="P31" s="14">
        <v>3</v>
      </c>
      <c r="Q31" s="14">
        <v>3</v>
      </c>
      <c r="R31" s="14">
        <v>2</v>
      </c>
      <c r="S31" s="14" t="s">
        <v>7</v>
      </c>
      <c r="T31" s="9">
        <f>((ABS(Q31-6)^2)+(ABS(R31-5)^2))^(1/2)</f>
        <v>4.2426406871192848</v>
      </c>
      <c r="U31" s="12"/>
      <c r="AC31" s="4">
        <v>20</v>
      </c>
      <c r="AD31" s="4">
        <v>10</v>
      </c>
      <c r="AE31" s="4">
        <v>10</v>
      </c>
      <c r="AF31" s="22" t="s">
        <v>7</v>
      </c>
      <c r="AG31" s="23">
        <f t="shared" si="0"/>
        <v>10</v>
      </c>
      <c r="AH31" s="23">
        <f t="shared" si="1"/>
        <v>10</v>
      </c>
      <c r="AI31" s="23" t="str">
        <f t="shared" si="2"/>
        <v/>
      </c>
      <c r="AJ31" s="23" t="str">
        <f t="shared" si="3"/>
        <v/>
      </c>
      <c r="AK31">
        <v>6</v>
      </c>
      <c r="AL31">
        <v>5</v>
      </c>
    </row>
    <row r="32" spans="3:38" ht="15.75" customHeight="1" x14ac:dyDescent="0.35">
      <c r="H32" s="4">
        <v>18</v>
      </c>
      <c r="I32" s="4">
        <v>8</v>
      </c>
      <c r="J32" s="4">
        <v>9</v>
      </c>
      <c r="K32" s="4" t="s">
        <v>7</v>
      </c>
      <c r="L32" s="8">
        <f>((ABS(I32-6)^2)+ABS((J32-5)^2))^(1/2)</f>
        <v>4.4721359549995796</v>
      </c>
      <c r="M32" s="12"/>
      <c r="P32" s="14">
        <v>18</v>
      </c>
      <c r="Q32" s="14">
        <v>8</v>
      </c>
      <c r="R32" s="14">
        <v>9</v>
      </c>
      <c r="S32" s="14" t="s">
        <v>7</v>
      </c>
      <c r="T32" s="9">
        <f>((ABS(Q32-6)^2)+(ABS(R32-5)^2))^(1/2)</f>
        <v>4.4721359549995796</v>
      </c>
      <c r="U32" s="12"/>
    </row>
    <row r="33" spans="8:35" ht="15.75" customHeight="1" x14ac:dyDescent="0.35">
      <c r="H33" s="4">
        <v>11</v>
      </c>
      <c r="I33" s="4">
        <v>1</v>
      </c>
      <c r="J33" s="4">
        <v>6</v>
      </c>
      <c r="K33" s="4" t="s">
        <v>9</v>
      </c>
      <c r="L33" s="8">
        <f>((ABS(I33-6)^2)+ABS((J33-5)^2))^(1/2)</f>
        <v>5.0990195135927845</v>
      </c>
      <c r="M33" s="12"/>
      <c r="P33" s="14">
        <v>11</v>
      </c>
      <c r="Q33" s="14">
        <v>1</v>
      </c>
      <c r="R33" s="14">
        <v>6</v>
      </c>
      <c r="S33" s="14" t="s">
        <v>9</v>
      </c>
      <c r="T33" s="9">
        <f>((ABS(Q33-6)^2)+(ABS(R33-5)^2))^(1/2)</f>
        <v>5.0990195135927845</v>
      </c>
      <c r="U33" s="12"/>
    </row>
    <row r="34" spans="8:35" ht="15.75" customHeight="1" x14ac:dyDescent="0.35">
      <c r="H34" s="4">
        <v>2</v>
      </c>
      <c r="I34" s="4">
        <v>2</v>
      </c>
      <c r="J34" s="4">
        <v>1</v>
      </c>
      <c r="K34" s="4" t="s">
        <v>7</v>
      </c>
      <c r="L34" s="8">
        <f>((ABS(I34-6)^2)+ABS((J34-5)^2))^(1/2)</f>
        <v>5.6568542494923806</v>
      </c>
      <c r="M34" s="12"/>
      <c r="P34" s="14">
        <v>2</v>
      </c>
      <c r="Q34" s="14">
        <v>2</v>
      </c>
      <c r="R34" s="14">
        <v>1</v>
      </c>
      <c r="S34" s="14" t="s">
        <v>7</v>
      </c>
      <c r="T34" s="9">
        <f>((ABS(Q34-6)^2)+(ABS(R34-5)^2))^(1/2)</f>
        <v>5.6568542494923806</v>
      </c>
      <c r="U34" s="12"/>
      <c r="AC34" s="28" t="s">
        <v>14</v>
      </c>
      <c r="AD34" s="29"/>
      <c r="AE34" s="29"/>
      <c r="AF34" s="29"/>
    </row>
    <row r="35" spans="8:35" ht="15.75" customHeight="1" x14ac:dyDescent="0.35">
      <c r="H35" s="4">
        <v>19</v>
      </c>
      <c r="I35" s="4">
        <v>9</v>
      </c>
      <c r="J35" s="4">
        <v>10</v>
      </c>
      <c r="K35" s="4" t="s">
        <v>9</v>
      </c>
      <c r="L35" s="8">
        <f>((ABS(I35-6)^2)+ABS((J35-5)^2))^(1/2)</f>
        <v>5.8309518948453007</v>
      </c>
      <c r="M35" s="12"/>
      <c r="P35" s="14">
        <v>19</v>
      </c>
      <c r="Q35" s="14">
        <v>9</v>
      </c>
      <c r="R35" s="14">
        <v>10</v>
      </c>
      <c r="S35" s="14" t="s">
        <v>9</v>
      </c>
      <c r="T35" s="9">
        <f>((ABS(Q35-6)^2)+(ABS(R35-5)^2))^(1/2)</f>
        <v>5.8309518948453007</v>
      </c>
      <c r="U35" s="12"/>
      <c r="AC35" s="29"/>
      <c r="AD35" s="29"/>
      <c r="AE35" s="29"/>
      <c r="AF35" s="29"/>
    </row>
    <row r="36" spans="8:35" ht="15.75" customHeight="1" x14ac:dyDescent="0.35">
      <c r="H36" s="4">
        <v>1</v>
      </c>
      <c r="I36" s="4">
        <v>1</v>
      </c>
      <c r="J36" s="4">
        <v>1</v>
      </c>
      <c r="K36" s="4" t="s">
        <v>7</v>
      </c>
      <c r="L36" s="8">
        <f>((ABS(I36-6)^2)+ABS((J36-5)^2))^(1/2)</f>
        <v>6.4031242374328485</v>
      </c>
      <c r="M36" s="12"/>
      <c r="P36" s="14">
        <v>1</v>
      </c>
      <c r="Q36" s="14">
        <v>1</v>
      </c>
      <c r="R36" s="14">
        <v>1</v>
      </c>
      <c r="S36" s="14" t="s">
        <v>7</v>
      </c>
      <c r="T36" s="9">
        <f>((ABS(Q36-6)^2)+(ABS(R36-5)^2))^(1/2)</f>
        <v>6.4031242374328485</v>
      </c>
      <c r="U36" s="12"/>
    </row>
    <row r="37" spans="8:35" ht="15.75" customHeight="1" x14ac:dyDescent="0.35">
      <c r="H37" s="4">
        <v>20</v>
      </c>
      <c r="I37" s="4">
        <v>10</v>
      </c>
      <c r="J37" s="4">
        <v>10</v>
      </c>
      <c r="K37" s="4" t="s">
        <v>7</v>
      </c>
      <c r="L37" s="8">
        <f>((ABS(I37-6)^2)+ABS((J37-5)^2))^(1/2)</f>
        <v>6.4031242374328485</v>
      </c>
      <c r="M37" s="12"/>
      <c r="P37" s="14">
        <v>20</v>
      </c>
      <c r="Q37" s="14">
        <v>10</v>
      </c>
      <c r="R37" s="14">
        <v>10</v>
      </c>
      <c r="S37" s="14" t="s">
        <v>7</v>
      </c>
      <c r="T37" s="9">
        <f>((ABS(Q37-6)^2)+(ABS(R37-5)^2))^(1/2)</f>
        <v>6.4031242374328485</v>
      </c>
      <c r="U37" s="12"/>
      <c r="AC37" s="2" t="s">
        <v>2</v>
      </c>
      <c r="AD37" s="2" t="s">
        <v>3</v>
      </c>
      <c r="AE37" s="2" t="s">
        <v>4</v>
      </c>
      <c r="AF37" s="2" t="s">
        <v>5</v>
      </c>
      <c r="AG37" s="25" t="s">
        <v>16</v>
      </c>
      <c r="AH37" s="27" t="s">
        <v>25</v>
      </c>
      <c r="AI37" s="27" t="s">
        <v>26</v>
      </c>
    </row>
    <row r="38" spans="8:35" ht="15.75" customHeight="1" x14ac:dyDescent="0.35">
      <c r="AC38" s="15">
        <v>14</v>
      </c>
      <c r="AD38" s="15">
        <v>4</v>
      </c>
      <c r="AE38" s="15">
        <v>7</v>
      </c>
      <c r="AF38" s="15" t="s">
        <v>7</v>
      </c>
      <c r="AG38" s="26">
        <f>((ABS(AD38-5)^2)+(ABS(AE38-6)^2))^(1/2)</f>
        <v>1.4142135623730951</v>
      </c>
      <c r="AH38" s="23">
        <f>AD38</f>
        <v>4</v>
      </c>
      <c r="AI38" s="23">
        <f>AE38</f>
        <v>7</v>
      </c>
    </row>
    <row r="39" spans="8:35" ht="15.75" customHeight="1" x14ac:dyDescent="0.35">
      <c r="AC39" s="15">
        <v>15</v>
      </c>
      <c r="AD39" s="15">
        <v>5</v>
      </c>
      <c r="AE39" s="15">
        <v>8</v>
      </c>
      <c r="AF39" s="15" t="s">
        <v>9</v>
      </c>
      <c r="AG39" s="26">
        <f>((ABS(AD39-5)^2)+(ABS(AE39-6)^2))^(1/2)</f>
        <v>2</v>
      </c>
      <c r="AH39" s="23">
        <f t="shared" ref="AH39:AI42" si="4">AD39</f>
        <v>5</v>
      </c>
      <c r="AI39" s="23">
        <f t="shared" si="4"/>
        <v>8</v>
      </c>
    </row>
    <row r="40" spans="8:35" ht="15.75" customHeight="1" x14ac:dyDescent="0.35">
      <c r="AC40" s="15">
        <v>13</v>
      </c>
      <c r="AD40" s="15">
        <v>3</v>
      </c>
      <c r="AE40" s="15">
        <v>7</v>
      </c>
      <c r="AF40" s="15" t="s">
        <v>7</v>
      </c>
      <c r="AG40" s="26">
        <f>((ABS(AD40-5)^2)+(ABS(AE40-6)^2))^(1/2)</f>
        <v>2.2360679774997898</v>
      </c>
      <c r="AH40" s="23">
        <f t="shared" si="4"/>
        <v>3</v>
      </c>
      <c r="AI40" s="23">
        <f t="shared" si="4"/>
        <v>7</v>
      </c>
    </row>
    <row r="41" spans="8:35" ht="15.75" customHeight="1" x14ac:dyDescent="0.35">
      <c r="AC41" s="15">
        <v>16</v>
      </c>
      <c r="AD41" s="15">
        <v>6</v>
      </c>
      <c r="AE41" s="15">
        <v>8</v>
      </c>
      <c r="AF41" s="15" t="s">
        <v>9</v>
      </c>
      <c r="AG41" s="26">
        <f>((ABS(AD41-5)^2)+(ABS(AE41-6)^2))^(1/2)</f>
        <v>2.2360679774997898</v>
      </c>
      <c r="AH41" s="23">
        <f t="shared" si="4"/>
        <v>6</v>
      </c>
      <c r="AI41" s="23">
        <f t="shared" si="4"/>
        <v>8</v>
      </c>
    </row>
    <row r="42" spans="8:35" ht="15.75" customHeight="1" x14ac:dyDescent="0.35">
      <c r="AC42" s="15">
        <v>7</v>
      </c>
      <c r="AD42" s="15">
        <v>7</v>
      </c>
      <c r="AE42" s="15">
        <v>4</v>
      </c>
      <c r="AF42" s="15" t="s">
        <v>7</v>
      </c>
      <c r="AG42" s="26">
        <f>((ABS(AD42-5)^2)+(ABS(AE42-6)^2))^(1/2)</f>
        <v>2.8284271247461903</v>
      </c>
      <c r="AH42" s="23">
        <f t="shared" si="4"/>
        <v>7</v>
      </c>
      <c r="AI42" s="23">
        <f t="shared" si="4"/>
        <v>4</v>
      </c>
    </row>
    <row r="43" spans="8:35" ht="15.75" customHeight="1" x14ac:dyDescent="0.35">
      <c r="AC43" s="14">
        <v>5</v>
      </c>
      <c r="AD43" s="14">
        <v>5</v>
      </c>
      <c r="AE43" s="14">
        <v>3</v>
      </c>
      <c r="AF43" s="14" t="s">
        <v>9</v>
      </c>
      <c r="AG43" s="26">
        <f>((ABS(AD43-5)^2)+(ABS(AE43-6)^2))^(1/2)</f>
        <v>3</v>
      </c>
      <c r="AH43" s="35"/>
      <c r="AI43" s="35"/>
    </row>
    <row r="44" spans="8:35" ht="15.75" customHeight="1" x14ac:dyDescent="0.35">
      <c r="AC44" s="14">
        <v>12</v>
      </c>
      <c r="AD44" s="14">
        <v>2</v>
      </c>
      <c r="AE44" s="14">
        <v>6</v>
      </c>
      <c r="AF44" s="14" t="s">
        <v>9</v>
      </c>
      <c r="AG44" s="26">
        <f>((ABS(AD44-5)^2)+(ABS(AE44-6)^2))^(1/2)</f>
        <v>3</v>
      </c>
      <c r="AH44" s="35"/>
      <c r="AI44" s="35"/>
    </row>
    <row r="45" spans="8:35" ht="15.75" customHeight="1" x14ac:dyDescent="0.35">
      <c r="AC45" s="4">
        <v>6</v>
      </c>
      <c r="AD45" s="4">
        <v>6</v>
      </c>
      <c r="AE45" s="4">
        <v>3</v>
      </c>
      <c r="AF45" s="4" t="s">
        <v>9</v>
      </c>
      <c r="AG45" s="26">
        <f>((ABS(AD45-5)^2)+(ABS(AE45-6)^2))^(1/2)</f>
        <v>3.1622776601683795</v>
      </c>
    </row>
    <row r="46" spans="8:35" ht="15.75" customHeight="1" x14ac:dyDescent="0.35">
      <c r="AC46" s="4">
        <v>8</v>
      </c>
      <c r="AD46" s="4">
        <v>8</v>
      </c>
      <c r="AE46" s="4">
        <v>4</v>
      </c>
      <c r="AF46" s="4" t="s">
        <v>7</v>
      </c>
      <c r="AG46" s="26">
        <f>((ABS(AD46-5)^2)+(ABS(AE46-6)^2))^(1/2)</f>
        <v>3.6055512754639891</v>
      </c>
    </row>
    <row r="47" spans="8:35" ht="15.75" customHeight="1" x14ac:dyDescent="0.35">
      <c r="AC47" s="4">
        <v>17</v>
      </c>
      <c r="AD47" s="4">
        <v>7</v>
      </c>
      <c r="AE47" s="4">
        <v>9</v>
      </c>
      <c r="AF47" s="4" t="s">
        <v>7</v>
      </c>
      <c r="AG47" s="26">
        <f>((ABS(AD47-5)^2)+(ABS(AE47-6)^2))^(1/2)</f>
        <v>3.6055512754639891</v>
      </c>
    </row>
    <row r="48" spans="8:35" ht="15.75" customHeight="1" x14ac:dyDescent="0.35">
      <c r="AC48" s="4">
        <v>11</v>
      </c>
      <c r="AD48" s="4">
        <v>1</v>
      </c>
      <c r="AE48" s="4">
        <v>6</v>
      </c>
      <c r="AF48" s="4" t="s">
        <v>9</v>
      </c>
      <c r="AG48" s="26">
        <f>((ABS(AD48-5)^2)+(ABS(AE48-6)^2))^(1/2)</f>
        <v>4</v>
      </c>
    </row>
    <row r="49" spans="29:33" ht="15.75" customHeight="1" x14ac:dyDescent="0.35">
      <c r="AC49" s="4">
        <v>4</v>
      </c>
      <c r="AD49" s="4">
        <v>4</v>
      </c>
      <c r="AE49" s="4">
        <v>2</v>
      </c>
      <c r="AF49" s="4" t="s">
        <v>9</v>
      </c>
      <c r="AG49" s="26">
        <f>((ABS(AD49-5)^2)+(ABS(AE49-6)^2))^(1/2)</f>
        <v>4.1231056256176606</v>
      </c>
    </row>
    <row r="50" spans="29:33" ht="15.75" customHeight="1" x14ac:dyDescent="0.35">
      <c r="AC50" s="4">
        <v>9</v>
      </c>
      <c r="AD50" s="4">
        <v>9</v>
      </c>
      <c r="AE50" s="4">
        <v>5</v>
      </c>
      <c r="AF50" s="4" t="s">
        <v>9</v>
      </c>
      <c r="AG50" s="26">
        <f>((ABS(AD50-5)^2)+(ABS(AE50-6)^2))^(1/2)</f>
        <v>4.1231056256176606</v>
      </c>
    </row>
    <row r="51" spans="29:33" ht="15.75" customHeight="1" x14ac:dyDescent="0.35">
      <c r="AC51" s="4">
        <v>18</v>
      </c>
      <c r="AD51" s="4">
        <v>8</v>
      </c>
      <c r="AE51" s="4">
        <v>9</v>
      </c>
      <c r="AF51" s="4" t="s">
        <v>7</v>
      </c>
      <c r="AG51" s="26">
        <f>((ABS(AD51-5)^2)+(ABS(AE51-6)^2))^(1/2)</f>
        <v>4.2426406871192848</v>
      </c>
    </row>
    <row r="52" spans="29:33" ht="15.75" customHeight="1" x14ac:dyDescent="0.35">
      <c r="AC52" s="4">
        <v>3</v>
      </c>
      <c r="AD52" s="4">
        <v>3</v>
      </c>
      <c r="AE52" s="4">
        <v>2</v>
      </c>
      <c r="AF52" s="4" t="s">
        <v>7</v>
      </c>
      <c r="AG52" s="26">
        <f>((ABS(AD52-5)^2)+(ABS(AE52-6)^2))^(1/2)</f>
        <v>4.4721359549995796</v>
      </c>
    </row>
    <row r="53" spans="29:33" ht="15.75" customHeight="1" x14ac:dyDescent="0.35">
      <c r="AC53" s="4">
        <v>10</v>
      </c>
      <c r="AD53" s="4">
        <v>10</v>
      </c>
      <c r="AE53" s="4">
        <v>5</v>
      </c>
      <c r="AF53" s="4" t="s">
        <v>7</v>
      </c>
      <c r="AG53" s="26">
        <f>((ABS(AD53-5)^2)+(ABS(AE53-6)^2))^(1/2)</f>
        <v>5.0990195135927845</v>
      </c>
    </row>
    <row r="54" spans="29:33" ht="15.75" customHeight="1" x14ac:dyDescent="0.35">
      <c r="AC54" s="4">
        <v>19</v>
      </c>
      <c r="AD54" s="4">
        <v>9</v>
      </c>
      <c r="AE54" s="4">
        <v>10</v>
      </c>
      <c r="AF54" s="4" t="s">
        <v>9</v>
      </c>
      <c r="AG54" s="26">
        <f>((ABS(AD54-5)^2)+(ABS(AE54-6)^2))^(1/2)</f>
        <v>5.6568542494923806</v>
      </c>
    </row>
    <row r="55" spans="29:33" ht="15.75" customHeight="1" x14ac:dyDescent="0.35">
      <c r="AC55" s="4">
        <v>2</v>
      </c>
      <c r="AD55" s="4">
        <v>2</v>
      </c>
      <c r="AE55" s="4">
        <v>1</v>
      </c>
      <c r="AF55" s="4" t="s">
        <v>7</v>
      </c>
      <c r="AG55" s="26">
        <f>((ABS(AD55-5)^2)+(ABS(AE55-6)^2))^(1/2)</f>
        <v>5.8309518948453007</v>
      </c>
    </row>
    <row r="56" spans="29:33" ht="15.75" customHeight="1" x14ac:dyDescent="0.35">
      <c r="AC56" s="4">
        <v>1</v>
      </c>
      <c r="AD56" s="4">
        <v>1</v>
      </c>
      <c r="AE56" s="4">
        <v>1</v>
      </c>
      <c r="AF56" s="4" t="s">
        <v>7</v>
      </c>
      <c r="AG56" s="26">
        <f>((ABS(AD56-5)^2)+(ABS(AE56-6)^2))^(1/2)</f>
        <v>6.4031242374328485</v>
      </c>
    </row>
    <row r="57" spans="29:33" ht="15.75" customHeight="1" x14ac:dyDescent="0.35">
      <c r="AC57" s="4">
        <v>20</v>
      </c>
      <c r="AD57" s="4">
        <v>10</v>
      </c>
      <c r="AE57" s="4">
        <v>10</v>
      </c>
      <c r="AF57" s="4" t="s">
        <v>7</v>
      </c>
      <c r="AG57" s="26">
        <f>((ABS(AD57-5)^2)+(ABS(AE57-6)^2))^(1/2)</f>
        <v>6.4031242374328485</v>
      </c>
    </row>
    <row r="58" spans="29:33" ht="15.75" customHeight="1" x14ac:dyDescent="0.35"/>
    <row r="59" spans="29:33" ht="15.75" customHeight="1" x14ac:dyDescent="0.35"/>
    <row r="60" spans="29:33" ht="15.75" customHeight="1" x14ac:dyDescent="0.35"/>
    <row r="61" spans="29:33" ht="15.75" customHeight="1" x14ac:dyDescent="0.35"/>
    <row r="62" spans="29:33" ht="15.75" customHeight="1" x14ac:dyDescent="0.35"/>
    <row r="63" spans="29:33" ht="15.75" customHeight="1" x14ac:dyDescent="0.35"/>
    <row r="64" spans="29:33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6">
    <mergeCell ref="P7:S8"/>
    <mergeCell ref="H9:I9"/>
    <mergeCell ref="AC9:AF9"/>
    <mergeCell ref="H10:N11"/>
    <mergeCell ref="V21:AA23"/>
    <mergeCell ref="AC34:AF35"/>
  </mergeCells>
  <pageMargins left="0.7" right="0.7" top="0.75" bottom="0.75" header="0" footer="0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36747-492E-4D42-9F5E-3F7B67C5BEA8}">
  <dimension ref="C2:AL1000"/>
  <sheetViews>
    <sheetView workbookViewId="0">
      <selection activeCell="AG33" sqref="AG33"/>
    </sheetView>
  </sheetViews>
  <sheetFormatPr defaultColWidth="14.453125" defaultRowHeight="15" customHeight="1" x14ac:dyDescent="0.35"/>
  <cols>
    <col min="1" max="11" width="8.7265625" customWidth="1"/>
    <col min="12" max="13" width="14.08984375" customWidth="1"/>
    <col min="14" max="19" width="8.7265625" customWidth="1"/>
    <col min="20" max="20" width="14.08984375" customWidth="1"/>
    <col min="21" max="21" width="5.7265625" customWidth="1"/>
    <col min="22" max="32" width="8.7265625" customWidth="1"/>
    <col min="33" max="36" width="13.1796875" customWidth="1"/>
    <col min="37" max="42" width="8.7265625" customWidth="1"/>
  </cols>
  <sheetData>
    <row r="2" spans="3:38" ht="46" x14ac:dyDescent="1">
      <c r="J2" s="18" t="s">
        <v>0</v>
      </c>
    </row>
    <row r="4" spans="3:38" ht="14.5" x14ac:dyDescent="0.35">
      <c r="C4" s="1" t="s">
        <v>1</v>
      </c>
    </row>
    <row r="5" spans="3:38" ht="29" x14ac:dyDescent="0.35">
      <c r="C5" s="2" t="s">
        <v>2</v>
      </c>
      <c r="D5" s="2" t="s">
        <v>3</v>
      </c>
      <c r="E5" s="2" t="s">
        <v>4</v>
      </c>
      <c r="F5" s="2" t="s">
        <v>5</v>
      </c>
      <c r="H5" s="3" t="s">
        <v>6</v>
      </c>
      <c r="L5" s="10"/>
      <c r="M5" s="10"/>
    </row>
    <row r="6" spans="3:38" ht="14.5" x14ac:dyDescent="0.35">
      <c r="C6" s="4">
        <v>1</v>
      </c>
      <c r="D6" s="4">
        <v>1</v>
      </c>
      <c r="E6" s="4">
        <v>1</v>
      </c>
      <c r="F6" s="4" t="s">
        <v>7</v>
      </c>
      <c r="H6" s="5" t="s">
        <v>15</v>
      </c>
    </row>
    <row r="7" spans="3:38" ht="14.5" x14ac:dyDescent="0.35">
      <c r="C7" s="4">
        <v>2</v>
      </c>
      <c r="D7" s="4">
        <v>2</v>
      </c>
      <c r="E7" s="4">
        <v>1</v>
      </c>
      <c r="F7" s="4" t="s">
        <v>7</v>
      </c>
      <c r="H7" s="5" t="s">
        <v>8</v>
      </c>
      <c r="P7" s="30" t="s">
        <v>18</v>
      </c>
      <c r="Q7" s="30"/>
      <c r="R7" s="30"/>
      <c r="S7" s="30"/>
    </row>
    <row r="8" spans="3:38" ht="14.5" x14ac:dyDescent="0.35">
      <c r="C8" s="4">
        <v>3</v>
      </c>
      <c r="D8" s="4">
        <v>3</v>
      </c>
      <c r="E8" s="4">
        <v>2</v>
      </c>
      <c r="F8" s="4" t="s">
        <v>7</v>
      </c>
      <c r="P8" s="30"/>
      <c r="Q8" s="30"/>
      <c r="R8" s="30"/>
      <c r="S8" s="30"/>
    </row>
    <row r="9" spans="3:38" ht="15" customHeight="1" x14ac:dyDescent="0.35">
      <c r="C9" s="4">
        <v>4</v>
      </c>
      <c r="D9" s="4">
        <v>4</v>
      </c>
      <c r="E9" s="4">
        <v>2</v>
      </c>
      <c r="F9" s="4" t="s">
        <v>9</v>
      </c>
      <c r="H9" s="31" t="s">
        <v>10</v>
      </c>
      <c r="I9" s="29"/>
      <c r="P9" s="16" t="s">
        <v>12</v>
      </c>
      <c r="AC9" s="31" t="s">
        <v>11</v>
      </c>
      <c r="AD9" s="29"/>
      <c r="AE9" s="29"/>
      <c r="AF9" s="29"/>
    </row>
    <row r="10" spans="3:38" ht="14.5" x14ac:dyDescent="0.35">
      <c r="C10" s="4">
        <v>5</v>
      </c>
      <c r="D10" s="4">
        <v>5</v>
      </c>
      <c r="E10" s="4">
        <v>3</v>
      </c>
      <c r="F10" s="4" t="s">
        <v>9</v>
      </c>
      <c r="H10" s="32" t="s">
        <v>17</v>
      </c>
      <c r="I10" s="29"/>
      <c r="J10" s="29"/>
      <c r="K10" s="29"/>
      <c r="L10" s="29"/>
      <c r="M10" s="29"/>
      <c r="N10" s="29"/>
      <c r="P10" t="s">
        <v>19</v>
      </c>
    </row>
    <row r="11" spans="3:38" ht="14.5" x14ac:dyDescent="0.35">
      <c r="C11" s="4">
        <v>6</v>
      </c>
      <c r="D11" s="4">
        <v>6</v>
      </c>
      <c r="E11" s="4">
        <v>3</v>
      </c>
      <c r="F11" s="4" t="s">
        <v>9</v>
      </c>
      <c r="H11" s="29"/>
      <c r="I11" s="29"/>
      <c r="J11" s="29"/>
      <c r="K11" s="29"/>
      <c r="L11" s="29"/>
      <c r="M11" s="29"/>
      <c r="N11" s="29"/>
      <c r="P11" s="34" t="s">
        <v>27</v>
      </c>
      <c r="AC11" s="2" t="s">
        <v>2</v>
      </c>
      <c r="AD11" s="2" t="s">
        <v>3</v>
      </c>
      <c r="AE11" s="2" t="s">
        <v>4</v>
      </c>
      <c r="AF11" s="21" t="s">
        <v>5</v>
      </c>
      <c r="AG11" s="24" t="s">
        <v>21</v>
      </c>
      <c r="AH11" s="24" t="s">
        <v>22</v>
      </c>
      <c r="AI11" s="24" t="s">
        <v>23</v>
      </c>
      <c r="AJ11" s="24" t="s">
        <v>24</v>
      </c>
    </row>
    <row r="12" spans="3:38" ht="14.5" x14ac:dyDescent="0.35">
      <c r="C12" s="4">
        <v>7</v>
      </c>
      <c r="D12" s="4">
        <v>7</v>
      </c>
      <c r="E12" s="4">
        <v>4</v>
      </c>
      <c r="F12" s="4" t="s">
        <v>7</v>
      </c>
      <c r="H12" s="7"/>
      <c r="P12" s="34" t="s">
        <v>20</v>
      </c>
      <c r="AC12" s="4">
        <v>1</v>
      </c>
      <c r="AD12" s="4">
        <v>1</v>
      </c>
      <c r="AE12" s="4">
        <v>1</v>
      </c>
      <c r="AF12" s="22" t="s">
        <v>7</v>
      </c>
      <c r="AG12" s="23">
        <f>IF($AF12="A",$AD12,"")</f>
        <v>1</v>
      </c>
      <c r="AH12" s="23">
        <f>IF($AF12="A",$AE12,"")</f>
        <v>1</v>
      </c>
      <c r="AI12" s="23" t="str">
        <f>IF($AF12="B",$AD12,"")</f>
        <v/>
      </c>
      <c r="AJ12" s="23" t="str">
        <f>IF($AF12="B",$AE12,"")</f>
        <v/>
      </c>
      <c r="AK12">
        <v>6</v>
      </c>
      <c r="AL12">
        <v>5</v>
      </c>
    </row>
    <row r="13" spans="3:38" ht="14.5" x14ac:dyDescent="0.35">
      <c r="C13" s="4">
        <v>8</v>
      </c>
      <c r="D13" s="4">
        <v>8</v>
      </c>
      <c r="E13" s="4">
        <v>4</v>
      </c>
      <c r="F13" s="4" t="s">
        <v>7</v>
      </c>
      <c r="P13" s="34" t="s">
        <v>28</v>
      </c>
      <c r="AC13" s="4">
        <v>2</v>
      </c>
      <c r="AD13" s="4">
        <v>2</v>
      </c>
      <c r="AE13" s="4">
        <v>1</v>
      </c>
      <c r="AF13" s="22" t="s">
        <v>7</v>
      </c>
      <c r="AG13" s="23">
        <f t="shared" ref="AG13:AG31" si="0">IF($AF13="A",$AD13,"")</f>
        <v>2</v>
      </c>
      <c r="AH13" s="23">
        <f t="shared" ref="AH13:AH31" si="1">IF($AF13="A",$AE13,"")</f>
        <v>1</v>
      </c>
      <c r="AI13" s="23" t="str">
        <f t="shared" ref="AI13:AI31" si="2">IF($AF13="B",$AD13,"")</f>
        <v/>
      </c>
      <c r="AJ13" s="23" t="str">
        <f t="shared" ref="AJ13:AJ31" si="3">IF($AF13="B",$AE13,"")</f>
        <v/>
      </c>
      <c r="AK13">
        <v>6</v>
      </c>
      <c r="AL13">
        <v>5</v>
      </c>
    </row>
    <row r="14" spans="3:38" ht="14.5" x14ac:dyDescent="0.35">
      <c r="C14" s="4">
        <v>9</v>
      </c>
      <c r="D14" s="4">
        <v>9</v>
      </c>
      <c r="E14" s="4">
        <v>5</v>
      </c>
      <c r="F14" s="4" t="s">
        <v>9</v>
      </c>
      <c r="L14" s="10"/>
      <c r="P14" s="34" t="s">
        <v>29</v>
      </c>
      <c r="AC14" s="4">
        <v>3</v>
      </c>
      <c r="AD14" s="4">
        <v>3</v>
      </c>
      <c r="AE14" s="4">
        <v>2</v>
      </c>
      <c r="AF14" s="22" t="s">
        <v>7</v>
      </c>
      <c r="AG14" s="23">
        <f t="shared" si="0"/>
        <v>3</v>
      </c>
      <c r="AH14" s="23">
        <f t="shared" si="1"/>
        <v>2</v>
      </c>
      <c r="AI14" s="23" t="str">
        <f t="shared" si="2"/>
        <v/>
      </c>
      <c r="AJ14" s="23" t="str">
        <f t="shared" si="3"/>
        <v/>
      </c>
      <c r="AK14">
        <v>6</v>
      </c>
      <c r="AL14">
        <v>5</v>
      </c>
    </row>
    <row r="15" spans="3:38" ht="14.5" x14ac:dyDescent="0.35">
      <c r="C15" s="4">
        <v>10</v>
      </c>
      <c r="D15" s="4">
        <v>10</v>
      </c>
      <c r="E15" s="4">
        <v>5</v>
      </c>
      <c r="F15" s="4" t="s">
        <v>7</v>
      </c>
      <c r="P15" s="34" t="s">
        <v>30</v>
      </c>
      <c r="AC15" s="4">
        <v>4</v>
      </c>
      <c r="AD15" s="4">
        <v>4</v>
      </c>
      <c r="AE15" s="4">
        <v>2</v>
      </c>
      <c r="AF15" s="22" t="s">
        <v>9</v>
      </c>
      <c r="AG15" s="23" t="str">
        <f t="shared" si="0"/>
        <v/>
      </c>
      <c r="AH15" s="23" t="str">
        <f t="shared" si="1"/>
        <v/>
      </c>
      <c r="AI15" s="23">
        <f t="shared" si="2"/>
        <v>4</v>
      </c>
      <c r="AJ15" s="23">
        <f t="shared" si="3"/>
        <v>2</v>
      </c>
      <c r="AK15">
        <v>6</v>
      </c>
      <c r="AL15">
        <v>5</v>
      </c>
    </row>
    <row r="16" spans="3:38" ht="19.5" customHeight="1" x14ac:dyDescent="0.35">
      <c r="C16" s="4">
        <v>11</v>
      </c>
      <c r="D16" s="4">
        <v>1</v>
      </c>
      <c r="E16" s="4">
        <v>6</v>
      </c>
      <c r="F16" s="4" t="s">
        <v>9</v>
      </c>
      <c r="AC16" s="4">
        <v>5</v>
      </c>
      <c r="AD16" s="4">
        <v>5</v>
      </c>
      <c r="AE16" s="4">
        <v>3</v>
      </c>
      <c r="AF16" s="22" t="s">
        <v>9</v>
      </c>
      <c r="AG16" s="23" t="str">
        <f t="shared" si="0"/>
        <v/>
      </c>
      <c r="AH16" s="23" t="str">
        <f t="shared" si="1"/>
        <v/>
      </c>
      <c r="AI16" s="23">
        <f t="shared" si="2"/>
        <v>5</v>
      </c>
      <c r="AJ16" s="23">
        <f t="shared" si="3"/>
        <v>3</v>
      </c>
      <c r="AK16">
        <v>6</v>
      </c>
      <c r="AL16">
        <v>5</v>
      </c>
    </row>
    <row r="17" spans="3:38" ht="14.5" x14ac:dyDescent="0.35">
      <c r="C17" s="4">
        <v>12</v>
      </c>
      <c r="D17" s="4">
        <v>2</v>
      </c>
      <c r="E17" s="4">
        <v>6</v>
      </c>
      <c r="F17" s="4" t="s">
        <v>9</v>
      </c>
      <c r="H17" s="2" t="s">
        <v>2</v>
      </c>
      <c r="I17" s="2" t="s">
        <v>3</v>
      </c>
      <c r="J17" s="2" t="s">
        <v>4</v>
      </c>
      <c r="K17" s="2" t="s">
        <v>5</v>
      </c>
      <c r="L17" s="2" t="s">
        <v>16</v>
      </c>
      <c r="M17" s="11"/>
      <c r="P17" s="2" t="s">
        <v>2</v>
      </c>
      <c r="Q17" s="2" t="s">
        <v>3</v>
      </c>
      <c r="R17" s="2" t="s">
        <v>4</v>
      </c>
      <c r="S17" s="2" t="s">
        <v>5</v>
      </c>
      <c r="T17" s="2" t="s">
        <v>16</v>
      </c>
      <c r="U17" s="11"/>
      <c r="AC17" s="4">
        <v>6</v>
      </c>
      <c r="AD17" s="4">
        <v>6</v>
      </c>
      <c r="AE17" s="4">
        <v>3</v>
      </c>
      <c r="AF17" s="22" t="s">
        <v>9</v>
      </c>
      <c r="AG17" s="23" t="str">
        <f t="shared" si="0"/>
        <v/>
      </c>
      <c r="AH17" s="23" t="str">
        <f t="shared" si="1"/>
        <v/>
      </c>
      <c r="AI17" s="23">
        <f t="shared" si="2"/>
        <v>6</v>
      </c>
      <c r="AJ17" s="23">
        <f t="shared" si="3"/>
        <v>3</v>
      </c>
      <c r="AK17">
        <v>6</v>
      </c>
      <c r="AL17">
        <v>5</v>
      </c>
    </row>
    <row r="18" spans="3:38" ht="14.5" x14ac:dyDescent="0.35">
      <c r="C18" s="4">
        <v>13</v>
      </c>
      <c r="D18" s="4">
        <v>3</v>
      </c>
      <c r="E18" s="4">
        <v>7</v>
      </c>
      <c r="F18" s="4" t="s">
        <v>7</v>
      </c>
      <c r="H18" s="4">
        <v>7</v>
      </c>
      <c r="I18" s="4">
        <v>7</v>
      </c>
      <c r="J18" s="4">
        <v>4</v>
      </c>
      <c r="K18" s="4" t="s">
        <v>7</v>
      </c>
      <c r="L18" s="8">
        <f>((ABS(I18-6)^2)+ABS((J18-5)^2))^(1/2)</f>
        <v>1.4142135623730951</v>
      </c>
      <c r="M18" s="12"/>
      <c r="P18" s="15">
        <v>7</v>
      </c>
      <c r="Q18" s="15">
        <v>7</v>
      </c>
      <c r="R18" s="15">
        <v>4</v>
      </c>
      <c r="S18" s="15" t="s">
        <v>7</v>
      </c>
      <c r="T18" s="9">
        <f>((ABS(Q18-6)^2)+(ABS(R18-5)^2))^(1/2)</f>
        <v>1.4142135623730951</v>
      </c>
      <c r="U18" s="13"/>
      <c r="AC18" s="4">
        <v>7</v>
      </c>
      <c r="AD18" s="4">
        <v>7</v>
      </c>
      <c r="AE18" s="4">
        <v>4</v>
      </c>
      <c r="AF18" s="22" t="s">
        <v>7</v>
      </c>
      <c r="AG18" s="23">
        <f t="shared" si="0"/>
        <v>7</v>
      </c>
      <c r="AH18" s="23">
        <f t="shared" si="1"/>
        <v>4</v>
      </c>
      <c r="AI18" s="23" t="str">
        <f t="shared" si="2"/>
        <v/>
      </c>
      <c r="AJ18" s="23" t="str">
        <f t="shared" si="3"/>
        <v/>
      </c>
      <c r="AK18">
        <v>6</v>
      </c>
      <c r="AL18">
        <v>5</v>
      </c>
    </row>
    <row r="19" spans="3:38" ht="14.5" x14ac:dyDescent="0.35">
      <c r="C19" s="4">
        <v>14</v>
      </c>
      <c r="D19" s="4">
        <v>4</v>
      </c>
      <c r="E19" s="4">
        <v>7</v>
      </c>
      <c r="F19" s="4" t="s">
        <v>7</v>
      </c>
      <c r="H19" s="4">
        <v>6</v>
      </c>
      <c r="I19" s="4">
        <v>6</v>
      </c>
      <c r="J19" s="4">
        <v>3</v>
      </c>
      <c r="K19" s="4" t="s">
        <v>9</v>
      </c>
      <c r="L19" s="8">
        <f>((ABS(I19-6)^2)+ABS((J19-5)^2))^(1/2)</f>
        <v>2</v>
      </c>
      <c r="M19" s="12"/>
      <c r="P19" s="15">
        <v>6</v>
      </c>
      <c r="Q19" s="15">
        <v>6</v>
      </c>
      <c r="R19" s="15">
        <v>3</v>
      </c>
      <c r="S19" s="15" t="s">
        <v>9</v>
      </c>
      <c r="T19" s="9">
        <f>((ABS(Q19-6)^2)+(ABS(R19-5)^2))^(1/2)</f>
        <v>2</v>
      </c>
      <c r="U19" s="13"/>
      <c r="AC19" s="4">
        <v>8</v>
      </c>
      <c r="AD19" s="4">
        <v>8</v>
      </c>
      <c r="AE19" s="4">
        <v>4</v>
      </c>
      <c r="AF19" s="22" t="s">
        <v>7</v>
      </c>
      <c r="AG19" s="23">
        <f t="shared" si="0"/>
        <v>8</v>
      </c>
      <c r="AH19" s="23">
        <f t="shared" si="1"/>
        <v>4</v>
      </c>
      <c r="AI19" s="23" t="str">
        <f t="shared" si="2"/>
        <v/>
      </c>
      <c r="AJ19" s="23" t="str">
        <f t="shared" si="3"/>
        <v/>
      </c>
      <c r="AK19">
        <v>6</v>
      </c>
      <c r="AL19">
        <v>5</v>
      </c>
    </row>
    <row r="20" spans="3:38" ht="14.5" x14ac:dyDescent="0.35">
      <c r="C20" s="4">
        <v>15</v>
      </c>
      <c r="D20" s="4">
        <v>5</v>
      </c>
      <c r="E20" s="4">
        <v>8</v>
      </c>
      <c r="F20" s="4" t="s">
        <v>9</v>
      </c>
      <c r="H20" s="4">
        <v>5</v>
      </c>
      <c r="I20" s="4">
        <v>5</v>
      </c>
      <c r="J20" s="4">
        <v>3</v>
      </c>
      <c r="K20" s="4" t="s">
        <v>9</v>
      </c>
      <c r="L20" s="8">
        <f>((ABS(I20-6)^2)+ABS((J20-5)^2))^(1/2)</f>
        <v>2.2360679774997898</v>
      </c>
      <c r="M20" s="12"/>
      <c r="P20" s="15">
        <v>5</v>
      </c>
      <c r="Q20" s="15">
        <v>5</v>
      </c>
      <c r="R20" s="15">
        <v>3</v>
      </c>
      <c r="S20" s="15" t="s">
        <v>9</v>
      </c>
      <c r="T20" s="9">
        <f>((ABS(Q20-6)^2)+(ABS(R20-5)^2))^(1/2)</f>
        <v>2.2360679774997898</v>
      </c>
      <c r="U20" s="13"/>
      <c r="V20" s="34" t="s">
        <v>31</v>
      </c>
      <c r="AC20" s="4">
        <v>9</v>
      </c>
      <c r="AD20" s="4">
        <v>9</v>
      </c>
      <c r="AE20" s="4">
        <v>5</v>
      </c>
      <c r="AF20" s="22" t="s">
        <v>9</v>
      </c>
      <c r="AG20" s="23" t="str">
        <f t="shared" si="0"/>
        <v/>
      </c>
      <c r="AH20" s="23" t="str">
        <f t="shared" si="1"/>
        <v/>
      </c>
      <c r="AI20" s="23">
        <f t="shared" si="2"/>
        <v>9</v>
      </c>
      <c r="AJ20" s="23">
        <f t="shared" si="3"/>
        <v>5</v>
      </c>
      <c r="AK20">
        <v>6</v>
      </c>
      <c r="AL20">
        <v>5</v>
      </c>
    </row>
    <row r="21" spans="3:38" ht="15.75" customHeight="1" x14ac:dyDescent="0.35">
      <c r="C21" s="4">
        <v>16</v>
      </c>
      <c r="D21" s="4">
        <v>6</v>
      </c>
      <c r="E21" s="4">
        <v>8</v>
      </c>
      <c r="F21" s="4" t="s">
        <v>9</v>
      </c>
      <c r="H21" s="4">
        <v>8</v>
      </c>
      <c r="I21" s="4">
        <v>8</v>
      </c>
      <c r="J21" s="4">
        <v>4</v>
      </c>
      <c r="K21" s="4" t="s">
        <v>7</v>
      </c>
      <c r="L21" s="8">
        <f>((ABS(I21-6)^2)+ABS((J21-5)^2))^(1/2)</f>
        <v>2.2360679774997898</v>
      </c>
      <c r="M21" s="12"/>
      <c r="P21" s="15">
        <v>8</v>
      </c>
      <c r="Q21" s="15">
        <v>8</v>
      </c>
      <c r="R21" s="15">
        <v>4</v>
      </c>
      <c r="S21" s="15" t="s">
        <v>7</v>
      </c>
      <c r="T21" s="9">
        <f>((ABS(Q21-6)^2)+(ABS(R21-5)^2))^(1/2)</f>
        <v>2.2360679774997898</v>
      </c>
      <c r="U21" s="12"/>
      <c r="V21" s="33" t="s">
        <v>32</v>
      </c>
      <c r="W21" s="33"/>
      <c r="X21" s="33"/>
      <c r="Y21" s="33"/>
      <c r="Z21" s="33"/>
      <c r="AA21" s="33"/>
      <c r="AC21" s="4">
        <v>10</v>
      </c>
      <c r="AD21" s="4">
        <v>10</v>
      </c>
      <c r="AE21" s="4">
        <v>5</v>
      </c>
      <c r="AF21" s="22" t="s">
        <v>7</v>
      </c>
      <c r="AG21" s="23">
        <f t="shared" si="0"/>
        <v>10</v>
      </c>
      <c r="AH21" s="23">
        <f t="shared" si="1"/>
        <v>5</v>
      </c>
      <c r="AI21" s="23" t="str">
        <f t="shared" si="2"/>
        <v/>
      </c>
      <c r="AJ21" s="23" t="str">
        <f t="shared" si="3"/>
        <v/>
      </c>
      <c r="AK21">
        <v>6</v>
      </c>
      <c r="AL21">
        <v>5</v>
      </c>
    </row>
    <row r="22" spans="3:38" ht="15.75" customHeight="1" x14ac:dyDescent="0.35">
      <c r="C22" s="4">
        <v>17</v>
      </c>
      <c r="D22" s="4">
        <v>7</v>
      </c>
      <c r="E22" s="4">
        <v>9</v>
      </c>
      <c r="F22" s="4" t="s">
        <v>7</v>
      </c>
      <c r="H22" s="4">
        <v>14</v>
      </c>
      <c r="I22" s="4">
        <v>4</v>
      </c>
      <c r="J22" s="4">
        <v>7</v>
      </c>
      <c r="K22" s="4" t="s">
        <v>7</v>
      </c>
      <c r="L22" s="8">
        <f>((ABS(I22-6)^2)+ABS((J22-5)^2))^(1/2)</f>
        <v>2.8284271247461903</v>
      </c>
      <c r="M22" s="12"/>
      <c r="P22" s="15">
        <v>14</v>
      </c>
      <c r="Q22" s="15">
        <v>4</v>
      </c>
      <c r="R22" s="15">
        <v>7</v>
      </c>
      <c r="S22" s="15" t="s">
        <v>7</v>
      </c>
      <c r="T22" s="9">
        <f>((ABS(Q22-6)^2)+(ABS(R22-5)^2))^(1/2)</f>
        <v>2.8284271247461903</v>
      </c>
      <c r="U22" s="12"/>
      <c r="V22" s="33"/>
      <c r="W22" s="33"/>
      <c r="X22" s="33"/>
      <c r="Y22" s="33"/>
      <c r="Z22" s="33"/>
      <c r="AA22" s="33"/>
      <c r="AC22" s="4">
        <v>11</v>
      </c>
      <c r="AD22" s="4">
        <v>1</v>
      </c>
      <c r="AE22" s="4">
        <v>6</v>
      </c>
      <c r="AF22" s="22" t="s">
        <v>9</v>
      </c>
      <c r="AG22" s="23" t="str">
        <f t="shared" si="0"/>
        <v/>
      </c>
      <c r="AH22" s="23" t="str">
        <f t="shared" si="1"/>
        <v/>
      </c>
      <c r="AI22" s="23">
        <f t="shared" si="2"/>
        <v>1</v>
      </c>
      <c r="AJ22" s="23">
        <f t="shared" si="3"/>
        <v>6</v>
      </c>
      <c r="AK22">
        <v>6</v>
      </c>
      <c r="AL22">
        <v>5</v>
      </c>
    </row>
    <row r="23" spans="3:38" ht="15.75" customHeight="1" x14ac:dyDescent="0.35">
      <c r="C23" s="4">
        <v>18</v>
      </c>
      <c r="D23" s="4">
        <v>8</v>
      </c>
      <c r="E23" s="4">
        <v>9</v>
      </c>
      <c r="F23" s="4" t="s">
        <v>7</v>
      </c>
      <c r="H23" s="4">
        <v>9</v>
      </c>
      <c r="I23" s="4">
        <v>9</v>
      </c>
      <c r="J23" s="4">
        <v>5</v>
      </c>
      <c r="K23" s="4" t="s">
        <v>9</v>
      </c>
      <c r="L23" s="8">
        <f>((ABS(I23-6)^2)+ABS((J23-5)^2))^(1/2)</f>
        <v>3</v>
      </c>
      <c r="M23" s="12"/>
      <c r="P23" s="14">
        <v>16</v>
      </c>
      <c r="Q23" s="14">
        <v>6</v>
      </c>
      <c r="R23" s="14">
        <v>8</v>
      </c>
      <c r="S23" s="14" t="s">
        <v>9</v>
      </c>
      <c r="T23" s="9">
        <f>((ABS(Q23-6)^2)+(ABS(R23-5)^2))^(1/2)</f>
        <v>3</v>
      </c>
      <c r="U23" s="12"/>
      <c r="V23" s="33"/>
      <c r="W23" s="33"/>
      <c r="X23" s="33"/>
      <c r="Y23" s="33"/>
      <c r="Z23" s="33"/>
      <c r="AA23" s="33"/>
      <c r="AC23" s="4">
        <v>12</v>
      </c>
      <c r="AD23" s="4">
        <v>2</v>
      </c>
      <c r="AE23" s="4">
        <v>6</v>
      </c>
      <c r="AF23" s="22" t="s">
        <v>9</v>
      </c>
      <c r="AG23" s="23" t="str">
        <f t="shared" si="0"/>
        <v/>
      </c>
      <c r="AH23" s="23" t="str">
        <f t="shared" si="1"/>
        <v/>
      </c>
      <c r="AI23" s="23">
        <f t="shared" si="2"/>
        <v>2</v>
      </c>
      <c r="AJ23" s="23">
        <f t="shared" si="3"/>
        <v>6</v>
      </c>
      <c r="AK23">
        <v>6</v>
      </c>
      <c r="AL23">
        <v>5</v>
      </c>
    </row>
    <row r="24" spans="3:38" ht="15.75" customHeight="1" x14ac:dyDescent="0.35">
      <c r="C24" s="4">
        <v>19</v>
      </c>
      <c r="D24" s="4">
        <v>9</v>
      </c>
      <c r="E24" s="4">
        <v>10</v>
      </c>
      <c r="F24" s="4" t="s">
        <v>9</v>
      </c>
      <c r="H24" s="4">
        <v>16</v>
      </c>
      <c r="I24" s="4">
        <v>6</v>
      </c>
      <c r="J24" s="4">
        <v>8</v>
      </c>
      <c r="K24" s="4" t="s">
        <v>9</v>
      </c>
      <c r="L24" s="8">
        <f>((ABS(I24-6)^2)+ABS((J24-5)^2))^(1/2)</f>
        <v>3</v>
      </c>
      <c r="M24" s="12"/>
      <c r="P24" s="14">
        <v>9</v>
      </c>
      <c r="Q24" s="14">
        <v>9</v>
      </c>
      <c r="R24" s="14">
        <v>5</v>
      </c>
      <c r="S24" s="14" t="s">
        <v>9</v>
      </c>
      <c r="T24" s="9">
        <f>((ABS(Q24-6)^2)+(ABS(R24-5)^2))^(1/2)</f>
        <v>3</v>
      </c>
      <c r="U24" s="12"/>
      <c r="AC24" s="4">
        <v>13</v>
      </c>
      <c r="AD24" s="4">
        <v>3</v>
      </c>
      <c r="AE24" s="4">
        <v>7</v>
      </c>
      <c r="AF24" s="22" t="s">
        <v>7</v>
      </c>
      <c r="AG24" s="23">
        <f t="shared" si="0"/>
        <v>3</v>
      </c>
      <c r="AH24" s="23">
        <f t="shared" si="1"/>
        <v>7</v>
      </c>
      <c r="AI24" s="23" t="str">
        <f t="shared" si="2"/>
        <v/>
      </c>
      <c r="AJ24" s="23" t="str">
        <f t="shared" si="3"/>
        <v/>
      </c>
      <c r="AK24">
        <v>6</v>
      </c>
      <c r="AL24">
        <v>5</v>
      </c>
    </row>
    <row r="25" spans="3:38" ht="15.75" customHeight="1" x14ac:dyDescent="0.35">
      <c r="C25" s="4">
        <v>20</v>
      </c>
      <c r="D25" s="4">
        <v>10</v>
      </c>
      <c r="E25" s="4">
        <v>10</v>
      </c>
      <c r="F25" s="4" t="s">
        <v>7</v>
      </c>
      <c r="H25" s="4">
        <v>15</v>
      </c>
      <c r="I25" s="4">
        <v>5</v>
      </c>
      <c r="J25" s="4">
        <v>8</v>
      </c>
      <c r="K25" s="4" t="s">
        <v>9</v>
      </c>
      <c r="L25" s="8">
        <f>((ABS(I25-6)^2)+ABS((J25-5)^2))^(1/2)</f>
        <v>3.1622776601683795</v>
      </c>
      <c r="M25" s="12"/>
      <c r="P25" s="14">
        <v>15</v>
      </c>
      <c r="Q25" s="14">
        <v>5</v>
      </c>
      <c r="R25" s="14">
        <v>8</v>
      </c>
      <c r="S25" s="14" t="s">
        <v>9</v>
      </c>
      <c r="T25" s="9">
        <f>((ABS(Q25-6)^2)+(ABS(R25-5)^2))^(1/2)</f>
        <v>3.1622776601683795</v>
      </c>
      <c r="U25" s="12"/>
      <c r="W25" s="17"/>
      <c r="AC25" s="4">
        <v>14</v>
      </c>
      <c r="AD25" s="4">
        <v>4</v>
      </c>
      <c r="AE25" s="4">
        <v>7</v>
      </c>
      <c r="AF25" s="22" t="s">
        <v>7</v>
      </c>
      <c r="AG25" s="23">
        <f t="shared" si="0"/>
        <v>4</v>
      </c>
      <c r="AH25" s="23">
        <f t="shared" si="1"/>
        <v>7</v>
      </c>
      <c r="AI25" s="23" t="str">
        <f t="shared" si="2"/>
        <v/>
      </c>
      <c r="AJ25" s="23" t="str">
        <f t="shared" si="3"/>
        <v/>
      </c>
      <c r="AK25">
        <v>6</v>
      </c>
      <c r="AL25">
        <v>5</v>
      </c>
    </row>
    <row r="26" spans="3:38" ht="15" customHeight="1" x14ac:dyDescent="0.35">
      <c r="C26" s="6">
        <v>21</v>
      </c>
      <c r="D26" s="6">
        <v>4</v>
      </c>
      <c r="E26" s="6">
        <v>5</v>
      </c>
      <c r="F26" s="6" t="s">
        <v>13</v>
      </c>
      <c r="H26" s="4">
        <v>4</v>
      </c>
      <c r="I26" s="4">
        <v>4</v>
      </c>
      <c r="J26" s="4">
        <v>2</v>
      </c>
      <c r="K26" s="4" t="s">
        <v>9</v>
      </c>
      <c r="L26" s="8">
        <f>((ABS(I26-6)^2)+ABS((J26-5)^2))^(1/2)</f>
        <v>3.6055512754639891</v>
      </c>
      <c r="M26" s="12"/>
      <c r="P26" s="14">
        <v>13</v>
      </c>
      <c r="Q26" s="14">
        <v>3</v>
      </c>
      <c r="R26" s="14">
        <v>7</v>
      </c>
      <c r="S26" s="14" t="s">
        <v>7</v>
      </c>
      <c r="T26" s="9">
        <f>((ABS(Q26-6)^2)+(ABS(R26-5)^2))^(1/2)</f>
        <v>3.6055512754639891</v>
      </c>
      <c r="U26" s="12"/>
      <c r="W26" s="19"/>
      <c r="X26" s="19"/>
      <c r="Y26" s="19"/>
      <c r="Z26" s="19"/>
      <c r="AA26" s="19"/>
      <c r="AB26" s="20"/>
      <c r="AC26" s="4">
        <v>15</v>
      </c>
      <c r="AD26" s="4">
        <v>5</v>
      </c>
      <c r="AE26" s="4">
        <v>8</v>
      </c>
      <c r="AF26" s="22" t="s">
        <v>9</v>
      </c>
      <c r="AG26" s="23" t="str">
        <f t="shared" si="0"/>
        <v/>
      </c>
      <c r="AH26" s="23" t="str">
        <f t="shared" si="1"/>
        <v/>
      </c>
      <c r="AI26" s="23">
        <f t="shared" si="2"/>
        <v>5</v>
      </c>
      <c r="AJ26" s="23">
        <f t="shared" si="3"/>
        <v>8</v>
      </c>
      <c r="AK26">
        <v>6</v>
      </c>
      <c r="AL26">
        <v>5</v>
      </c>
    </row>
    <row r="27" spans="3:38" ht="15.75" customHeight="1" x14ac:dyDescent="0.35">
      <c r="H27" s="4">
        <v>13</v>
      </c>
      <c r="I27" s="4">
        <v>3</v>
      </c>
      <c r="J27" s="4">
        <v>7</v>
      </c>
      <c r="K27" s="4" t="s">
        <v>7</v>
      </c>
      <c r="L27" s="8">
        <f>((ABS(I27-6)^2)+ABS((J27-5)^2))^(1/2)</f>
        <v>3.6055512754639891</v>
      </c>
      <c r="M27" s="12"/>
      <c r="P27" s="14">
        <v>4</v>
      </c>
      <c r="Q27" s="14">
        <v>4</v>
      </c>
      <c r="R27" s="14">
        <v>2</v>
      </c>
      <c r="S27" s="14" t="s">
        <v>9</v>
      </c>
      <c r="T27" s="9">
        <f>((ABS(Q27-6)^2)+(ABS(R27-5)^2))^(1/2)</f>
        <v>3.6055512754639891</v>
      </c>
      <c r="U27" s="12"/>
      <c r="W27" s="19"/>
      <c r="X27" s="19"/>
      <c r="Y27" s="19"/>
      <c r="Z27" s="19"/>
      <c r="AA27" s="19"/>
      <c r="AB27" s="20"/>
      <c r="AC27" s="4">
        <v>16</v>
      </c>
      <c r="AD27" s="4">
        <v>6</v>
      </c>
      <c r="AE27" s="4">
        <v>8</v>
      </c>
      <c r="AF27" s="22" t="s">
        <v>9</v>
      </c>
      <c r="AG27" s="23" t="str">
        <f t="shared" si="0"/>
        <v/>
      </c>
      <c r="AH27" s="23" t="str">
        <f t="shared" si="1"/>
        <v/>
      </c>
      <c r="AI27" s="23">
        <f t="shared" si="2"/>
        <v>6</v>
      </c>
      <c r="AJ27" s="23">
        <f t="shared" si="3"/>
        <v>8</v>
      </c>
      <c r="AK27">
        <v>6</v>
      </c>
      <c r="AL27">
        <v>5</v>
      </c>
    </row>
    <row r="28" spans="3:38" ht="15.75" customHeight="1" x14ac:dyDescent="0.35">
      <c r="H28" s="4">
        <v>10</v>
      </c>
      <c r="I28" s="4">
        <v>10</v>
      </c>
      <c r="J28" s="4">
        <v>5</v>
      </c>
      <c r="K28" s="4" t="s">
        <v>7</v>
      </c>
      <c r="L28" s="8">
        <f>((ABS(I28-6)^2)+ABS((J28-5)^2))^(1/2)</f>
        <v>4</v>
      </c>
      <c r="M28" s="12"/>
      <c r="P28" s="14">
        <v>10</v>
      </c>
      <c r="Q28" s="14">
        <v>10</v>
      </c>
      <c r="R28" s="14">
        <v>5</v>
      </c>
      <c r="S28" s="14" t="s">
        <v>7</v>
      </c>
      <c r="T28" s="9">
        <f>((ABS(Q28-6)^2)+(ABS(R28-5)^2))^(1/2)</f>
        <v>4</v>
      </c>
      <c r="U28" s="12"/>
      <c r="AC28" s="4">
        <v>17</v>
      </c>
      <c r="AD28" s="4">
        <v>7</v>
      </c>
      <c r="AE28" s="4">
        <v>9</v>
      </c>
      <c r="AF28" s="22" t="s">
        <v>7</v>
      </c>
      <c r="AG28" s="23">
        <f t="shared" si="0"/>
        <v>7</v>
      </c>
      <c r="AH28" s="23">
        <f t="shared" si="1"/>
        <v>9</v>
      </c>
      <c r="AI28" s="23" t="str">
        <f t="shared" si="2"/>
        <v/>
      </c>
      <c r="AJ28" s="23" t="str">
        <f t="shared" si="3"/>
        <v/>
      </c>
      <c r="AK28">
        <v>6</v>
      </c>
      <c r="AL28">
        <v>5</v>
      </c>
    </row>
    <row r="29" spans="3:38" ht="15.75" customHeight="1" x14ac:dyDescent="0.35">
      <c r="H29" s="4">
        <v>12</v>
      </c>
      <c r="I29" s="4">
        <v>2</v>
      </c>
      <c r="J29" s="4">
        <v>6</v>
      </c>
      <c r="K29" s="4" t="s">
        <v>9</v>
      </c>
      <c r="L29" s="8">
        <f>((ABS(I29-6)^2)+ABS((J29-5)^2))^(1/2)</f>
        <v>4.1231056256176606</v>
      </c>
      <c r="M29" s="12"/>
      <c r="P29" s="14">
        <v>12</v>
      </c>
      <c r="Q29" s="14">
        <v>2</v>
      </c>
      <c r="R29" s="14">
        <v>6</v>
      </c>
      <c r="S29" s="14" t="s">
        <v>9</v>
      </c>
      <c r="T29" s="9">
        <f>((ABS(Q29-6)^2)+(ABS(R29-5)^2))^(1/2)</f>
        <v>4.1231056256176606</v>
      </c>
      <c r="U29" s="12"/>
      <c r="AC29" s="4">
        <v>18</v>
      </c>
      <c r="AD29" s="4">
        <v>8</v>
      </c>
      <c r="AE29" s="4">
        <v>9</v>
      </c>
      <c r="AF29" s="22" t="s">
        <v>7</v>
      </c>
      <c r="AG29" s="23">
        <f t="shared" si="0"/>
        <v>8</v>
      </c>
      <c r="AH29" s="23">
        <f t="shared" si="1"/>
        <v>9</v>
      </c>
      <c r="AI29" s="23" t="str">
        <f t="shared" si="2"/>
        <v/>
      </c>
      <c r="AJ29" s="23" t="str">
        <f t="shared" si="3"/>
        <v/>
      </c>
      <c r="AK29">
        <v>6</v>
      </c>
      <c r="AL29">
        <v>5</v>
      </c>
    </row>
    <row r="30" spans="3:38" ht="15.75" customHeight="1" x14ac:dyDescent="0.35">
      <c r="H30" s="4">
        <v>17</v>
      </c>
      <c r="I30" s="4">
        <v>7</v>
      </c>
      <c r="J30" s="4">
        <v>9</v>
      </c>
      <c r="K30" s="4" t="s">
        <v>7</v>
      </c>
      <c r="L30" s="8">
        <f>((ABS(I30-6)^2)+ABS((J30-5)^2))^(1/2)</f>
        <v>4.1231056256176606</v>
      </c>
      <c r="M30" s="12"/>
      <c r="P30" s="14">
        <v>17</v>
      </c>
      <c r="Q30" s="14">
        <v>7</v>
      </c>
      <c r="R30" s="14">
        <v>9</v>
      </c>
      <c r="S30" s="14" t="s">
        <v>7</v>
      </c>
      <c r="T30" s="9">
        <f>((ABS(Q30-6)^2)+(ABS(R30-5)^2))^(1/2)</f>
        <v>4.1231056256176606</v>
      </c>
      <c r="U30" s="12"/>
      <c r="AC30" s="4">
        <v>19</v>
      </c>
      <c r="AD30" s="4">
        <v>9</v>
      </c>
      <c r="AE30" s="4">
        <v>10</v>
      </c>
      <c r="AF30" s="22" t="s">
        <v>9</v>
      </c>
      <c r="AG30" s="23" t="str">
        <f t="shared" si="0"/>
        <v/>
      </c>
      <c r="AH30" s="23" t="str">
        <f t="shared" si="1"/>
        <v/>
      </c>
      <c r="AI30" s="23">
        <f t="shared" si="2"/>
        <v>9</v>
      </c>
      <c r="AJ30" s="23">
        <f t="shared" si="3"/>
        <v>10</v>
      </c>
      <c r="AK30">
        <v>6</v>
      </c>
      <c r="AL30">
        <v>5</v>
      </c>
    </row>
    <row r="31" spans="3:38" ht="15.75" customHeight="1" x14ac:dyDescent="0.35">
      <c r="H31" s="4">
        <v>3</v>
      </c>
      <c r="I31" s="4">
        <v>3</v>
      </c>
      <c r="J31" s="4">
        <v>2</v>
      </c>
      <c r="K31" s="4" t="s">
        <v>7</v>
      </c>
      <c r="L31" s="8">
        <f>((ABS(I31-6)^2)+ABS((J31-5)^2))^(1/2)</f>
        <v>4.2426406871192848</v>
      </c>
      <c r="M31" s="12"/>
      <c r="P31" s="14">
        <v>3</v>
      </c>
      <c r="Q31" s="14">
        <v>3</v>
      </c>
      <c r="R31" s="14">
        <v>2</v>
      </c>
      <c r="S31" s="14" t="s">
        <v>7</v>
      </c>
      <c r="T31" s="9">
        <f>((ABS(Q31-6)^2)+(ABS(R31-5)^2))^(1/2)</f>
        <v>4.2426406871192848</v>
      </c>
      <c r="U31" s="12"/>
      <c r="AC31" s="4">
        <v>20</v>
      </c>
      <c r="AD31" s="4">
        <v>10</v>
      </c>
      <c r="AE31" s="4">
        <v>10</v>
      </c>
      <c r="AF31" s="22" t="s">
        <v>7</v>
      </c>
      <c r="AG31" s="23">
        <f t="shared" si="0"/>
        <v>10</v>
      </c>
      <c r="AH31" s="23">
        <f t="shared" si="1"/>
        <v>10</v>
      </c>
      <c r="AI31" s="23" t="str">
        <f t="shared" si="2"/>
        <v/>
      </c>
      <c r="AJ31" s="23" t="str">
        <f t="shared" si="3"/>
        <v/>
      </c>
      <c r="AK31">
        <v>6</v>
      </c>
      <c r="AL31">
        <v>5</v>
      </c>
    </row>
    <row r="32" spans="3:38" ht="15.75" customHeight="1" x14ac:dyDescent="0.35">
      <c r="H32" s="4">
        <v>18</v>
      </c>
      <c r="I32" s="4">
        <v>8</v>
      </c>
      <c r="J32" s="4">
        <v>9</v>
      </c>
      <c r="K32" s="4" t="s">
        <v>7</v>
      </c>
      <c r="L32" s="8">
        <f>((ABS(I32-6)^2)+ABS((J32-5)^2))^(1/2)</f>
        <v>4.4721359549995796</v>
      </c>
      <c r="M32" s="12"/>
      <c r="P32" s="14">
        <v>18</v>
      </c>
      <c r="Q32" s="14">
        <v>8</v>
      </c>
      <c r="R32" s="14">
        <v>9</v>
      </c>
      <c r="S32" s="14" t="s">
        <v>7</v>
      </c>
      <c r="T32" s="9">
        <f>((ABS(Q32-6)^2)+(ABS(R32-5)^2))^(1/2)</f>
        <v>4.4721359549995796</v>
      </c>
      <c r="U32" s="12"/>
    </row>
    <row r="33" spans="8:35" ht="15.75" customHeight="1" x14ac:dyDescent="0.35">
      <c r="H33" s="4">
        <v>11</v>
      </c>
      <c r="I33" s="4">
        <v>1</v>
      </c>
      <c r="J33" s="4">
        <v>6</v>
      </c>
      <c r="K33" s="4" t="s">
        <v>9</v>
      </c>
      <c r="L33" s="8">
        <f>((ABS(I33-6)^2)+ABS((J33-5)^2))^(1/2)</f>
        <v>5.0990195135927845</v>
      </c>
      <c r="M33" s="12"/>
      <c r="P33" s="14">
        <v>11</v>
      </c>
      <c r="Q33" s="14">
        <v>1</v>
      </c>
      <c r="R33" s="14">
        <v>6</v>
      </c>
      <c r="S33" s="14" t="s">
        <v>9</v>
      </c>
      <c r="T33" s="9">
        <f>((ABS(Q33-6)^2)+(ABS(R33-5)^2))^(1/2)</f>
        <v>5.0990195135927845</v>
      </c>
      <c r="U33" s="12"/>
    </row>
    <row r="34" spans="8:35" ht="15.75" customHeight="1" x14ac:dyDescent="0.35">
      <c r="H34" s="4">
        <v>2</v>
      </c>
      <c r="I34" s="4">
        <v>2</v>
      </c>
      <c r="J34" s="4">
        <v>1</v>
      </c>
      <c r="K34" s="4" t="s">
        <v>7</v>
      </c>
      <c r="L34" s="8">
        <f>((ABS(I34-6)^2)+ABS((J34-5)^2))^(1/2)</f>
        <v>5.6568542494923806</v>
      </c>
      <c r="M34" s="12"/>
      <c r="P34" s="14">
        <v>2</v>
      </c>
      <c r="Q34" s="14">
        <v>2</v>
      </c>
      <c r="R34" s="14">
        <v>1</v>
      </c>
      <c r="S34" s="14" t="s">
        <v>7</v>
      </c>
      <c r="T34" s="9">
        <f>((ABS(Q34-6)^2)+(ABS(R34-5)^2))^(1/2)</f>
        <v>5.6568542494923806</v>
      </c>
      <c r="U34" s="12"/>
      <c r="AC34" s="28" t="s">
        <v>14</v>
      </c>
      <c r="AD34" s="29"/>
      <c r="AE34" s="29"/>
      <c r="AF34" s="29"/>
    </row>
    <row r="35" spans="8:35" ht="15.75" customHeight="1" x14ac:dyDescent="0.35">
      <c r="H35" s="4">
        <v>19</v>
      </c>
      <c r="I35" s="4">
        <v>9</v>
      </c>
      <c r="J35" s="4">
        <v>10</v>
      </c>
      <c r="K35" s="4" t="s">
        <v>9</v>
      </c>
      <c r="L35" s="8">
        <f>((ABS(I35-6)^2)+ABS((J35-5)^2))^(1/2)</f>
        <v>5.8309518948453007</v>
      </c>
      <c r="M35" s="12"/>
      <c r="P35" s="14">
        <v>19</v>
      </c>
      <c r="Q35" s="14">
        <v>9</v>
      </c>
      <c r="R35" s="14">
        <v>10</v>
      </c>
      <c r="S35" s="14" t="s">
        <v>9</v>
      </c>
      <c r="T35" s="9">
        <f>((ABS(Q35-6)^2)+(ABS(R35-5)^2))^(1/2)</f>
        <v>5.8309518948453007</v>
      </c>
      <c r="U35" s="12"/>
      <c r="AC35" s="29"/>
      <c r="AD35" s="29"/>
      <c r="AE35" s="29"/>
      <c r="AF35" s="29"/>
    </row>
    <row r="36" spans="8:35" ht="15.75" customHeight="1" x14ac:dyDescent="0.35">
      <c r="H36" s="4">
        <v>1</v>
      </c>
      <c r="I36" s="4">
        <v>1</v>
      </c>
      <c r="J36" s="4">
        <v>1</v>
      </c>
      <c r="K36" s="4" t="s">
        <v>7</v>
      </c>
      <c r="L36" s="8">
        <f>((ABS(I36-6)^2)+ABS((J36-5)^2))^(1/2)</f>
        <v>6.4031242374328485</v>
      </c>
      <c r="M36" s="12"/>
      <c r="P36" s="14">
        <v>1</v>
      </c>
      <c r="Q36" s="14">
        <v>1</v>
      </c>
      <c r="R36" s="14">
        <v>1</v>
      </c>
      <c r="S36" s="14" t="s">
        <v>7</v>
      </c>
      <c r="T36" s="9">
        <f>((ABS(Q36-6)^2)+(ABS(R36-5)^2))^(1/2)</f>
        <v>6.4031242374328485</v>
      </c>
      <c r="U36" s="12"/>
    </row>
    <row r="37" spans="8:35" ht="15.75" customHeight="1" x14ac:dyDescent="0.35">
      <c r="H37" s="4">
        <v>20</v>
      </c>
      <c r="I37" s="4">
        <v>10</v>
      </c>
      <c r="J37" s="4">
        <v>10</v>
      </c>
      <c r="K37" s="4" t="s">
        <v>7</v>
      </c>
      <c r="L37" s="8">
        <f>((ABS(I37-6)^2)+ABS((J37-5)^2))^(1/2)</f>
        <v>6.4031242374328485</v>
      </c>
      <c r="M37" s="12"/>
      <c r="P37" s="14">
        <v>20</v>
      </c>
      <c r="Q37" s="14">
        <v>10</v>
      </c>
      <c r="R37" s="14">
        <v>10</v>
      </c>
      <c r="S37" s="14" t="s">
        <v>7</v>
      </c>
      <c r="T37" s="9">
        <f>((ABS(Q37-6)^2)+(ABS(R37-5)^2))^(1/2)</f>
        <v>6.4031242374328485</v>
      </c>
      <c r="U37" s="12"/>
      <c r="AC37" s="2" t="s">
        <v>2</v>
      </c>
      <c r="AD37" s="2" t="s">
        <v>3</v>
      </c>
      <c r="AE37" s="2" t="s">
        <v>4</v>
      </c>
      <c r="AF37" s="2" t="s">
        <v>5</v>
      </c>
      <c r="AG37" s="25" t="s">
        <v>16</v>
      </c>
      <c r="AH37" s="27" t="s">
        <v>25</v>
      </c>
      <c r="AI37" s="27" t="s">
        <v>26</v>
      </c>
    </row>
    <row r="38" spans="8:35" ht="15.75" customHeight="1" x14ac:dyDescent="0.35">
      <c r="AC38" s="15">
        <v>14</v>
      </c>
      <c r="AD38" s="15">
        <v>4</v>
      </c>
      <c r="AE38" s="15">
        <v>7</v>
      </c>
      <c r="AF38" s="15" t="s">
        <v>7</v>
      </c>
      <c r="AG38" s="26">
        <f>((ABS(AD38-5)^2)+(ABS(AE38-6)^2))^(1/2)</f>
        <v>1.4142135623730951</v>
      </c>
      <c r="AH38" s="23">
        <f>AD38</f>
        <v>4</v>
      </c>
      <c r="AI38" s="23">
        <f>AE38</f>
        <v>7</v>
      </c>
    </row>
    <row r="39" spans="8:35" ht="15.75" customHeight="1" x14ac:dyDescent="0.35">
      <c r="AC39" s="15">
        <v>15</v>
      </c>
      <c r="AD39" s="15">
        <v>5</v>
      </c>
      <c r="AE39" s="15">
        <v>8</v>
      </c>
      <c r="AF39" s="15" t="s">
        <v>9</v>
      </c>
      <c r="AG39" s="26">
        <f>((ABS(AD39-5)^2)+(ABS(AE39-6)^2))^(1/2)</f>
        <v>2</v>
      </c>
      <c r="AH39" s="23">
        <f t="shared" ref="AH39:AI42" si="4">AD39</f>
        <v>5</v>
      </c>
      <c r="AI39" s="23">
        <f t="shared" si="4"/>
        <v>8</v>
      </c>
    </row>
    <row r="40" spans="8:35" ht="15.75" customHeight="1" x14ac:dyDescent="0.35">
      <c r="AC40" s="15">
        <v>13</v>
      </c>
      <c r="AD40" s="15">
        <v>3</v>
      </c>
      <c r="AE40" s="15">
        <v>7</v>
      </c>
      <c r="AF40" s="15" t="s">
        <v>7</v>
      </c>
      <c r="AG40" s="26">
        <f>((ABS(AD40-5)^2)+(ABS(AE40-6)^2))^(1/2)</f>
        <v>2.2360679774997898</v>
      </c>
      <c r="AH40" s="23">
        <f t="shared" si="4"/>
        <v>3</v>
      </c>
      <c r="AI40" s="23">
        <f t="shared" si="4"/>
        <v>7</v>
      </c>
    </row>
    <row r="41" spans="8:35" ht="15.75" customHeight="1" x14ac:dyDescent="0.35">
      <c r="AC41" s="15">
        <v>16</v>
      </c>
      <c r="AD41" s="15">
        <v>6</v>
      </c>
      <c r="AE41" s="15">
        <v>8</v>
      </c>
      <c r="AF41" s="15" t="s">
        <v>9</v>
      </c>
      <c r="AG41" s="26">
        <f>((ABS(AD41-5)^2)+(ABS(AE41-6)^2))^(1/2)</f>
        <v>2.2360679774997898</v>
      </c>
      <c r="AH41" s="23">
        <f t="shared" si="4"/>
        <v>6</v>
      </c>
      <c r="AI41" s="23">
        <f t="shared" si="4"/>
        <v>8</v>
      </c>
    </row>
    <row r="42" spans="8:35" ht="15.75" customHeight="1" x14ac:dyDescent="0.35">
      <c r="AC42" s="15">
        <v>7</v>
      </c>
      <c r="AD42" s="15">
        <v>7</v>
      </c>
      <c r="AE42" s="15">
        <v>4</v>
      </c>
      <c r="AF42" s="15" t="s">
        <v>7</v>
      </c>
      <c r="AG42" s="26">
        <f>((ABS(AD42-5)^2)+(ABS(AE42-6)^2))^(1/2)</f>
        <v>2.8284271247461903</v>
      </c>
      <c r="AH42" s="23">
        <f t="shared" si="4"/>
        <v>7</v>
      </c>
      <c r="AI42" s="23">
        <f t="shared" si="4"/>
        <v>4</v>
      </c>
    </row>
    <row r="43" spans="8:35" ht="15.75" customHeight="1" x14ac:dyDescent="0.35">
      <c r="AC43" s="14">
        <v>5</v>
      </c>
      <c r="AD43" s="14">
        <v>5</v>
      </c>
      <c r="AE43" s="14">
        <v>3</v>
      </c>
      <c r="AF43" s="14" t="s">
        <v>9</v>
      </c>
      <c r="AG43" s="26">
        <f>((ABS(AD43-5)^2)+(ABS(AE43-6)^2))^(1/2)</f>
        <v>3</v>
      </c>
      <c r="AH43" s="35"/>
      <c r="AI43" s="35"/>
    </row>
    <row r="44" spans="8:35" ht="15.75" customHeight="1" x14ac:dyDescent="0.35">
      <c r="AC44" s="14">
        <v>12</v>
      </c>
      <c r="AD44" s="14">
        <v>2</v>
      </c>
      <c r="AE44" s="14">
        <v>6</v>
      </c>
      <c r="AF44" s="14" t="s">
        <v>9</v>
      </c>
      <c r="AG44" s="26">
        <f>((ABS(AD44-5)^2)+(ABS(AE44-6)^2))^(1/2)</f>
        <v>3</v>
      </c>
      <c r="AH44" s="35"/>
      <c r="AI44" s="35"/>
    </row>
    <row r="45" spans="8:35" ht="15.75" customHeight="1" x14ac:dyDescent="0.35">
      <c r="AC45" s="4">
        <v>6</v>
      </c>
      <c r="AD45" s="4">
        <v>6</v>
      </c>
      <c r="AE45" s="4">
        <v>3</v>
      </c>
      <c r="AF45" s="4" t="s">
        <v>9</v>
      </c>
      <c r="AG45" s="26">
        <f>((ABS(AD45-5)^2)+(ABS(AE45-6)^2))^(1/2)</f>
        <v>3.1622776601683795</v>
      </c>
    </row>
    <row r="46" spans="8:35" ht="15.75" customHeight="1" x14ac:dyDescent="0.35">
      <c r="AC46" s="4">
        <v>8</v>
      </c>
      <c r="AD46" s="4">
        <v>8</v>
      </c>
      <c r="AE46" s="4">
        <v>4</v>
      </c>
      <c r="AF46" s="4" t="s">
        <v>7</v>
      </c>
      <c r="AG46" s="26">
        <f>((ABS(AD46-5)^2)+(ABS(AE46-6)^2))^(1/2)</f>
        <v>3.6055512754639891</v>
      </c>
    </row>
    <row r="47" spans="8:35" ht="15.75" customHeight="1" x14ac:dyDescent="0.35">
      <c r="AC47" s="4">
        <v>17</v>
      </c>
      <c r="AD47" s="4">
        <v>7</v>
      </c>
      <c r="AE47" s="4">
        <v>9</v>
      </c>
      <c r="AF47" s="4" t="s">
        <v>7</v>
      </c>
      <c r="AG47" s="26">
        <f>((ABS(AD47-5)^2)+(ABS(AE47-6)^2))^(1/2)</f>
        <v>3.6055512754639891</v>
      </c>
    </row>
    <row r="48" spans="8:35" ht="15.75" customHeight="1" x14ac:dyDescent="0.35">
      <c r="AC48" s="4">
        <v>11</v>
      </c>
      <c r="AD48" s="4">
        <v>1</v>
      </c>
      <c r="AE48" s="4">
        <v>6</v>
      </c>
      <c r="AF48" s="4" t="s">
        <v>9</v>
      </c>
      <c r="AG48" s="26">
        <f>((ABS(AD48-5)^2)+(ABS(AE48-6)^2))^(1/2)</f>
        <v>4</v>
      </c>
    </row>
    <row r="49" spans="29:33" ht="15.75" customHeight="1" x14ac:dyDescent="0.35">
      <c r="AC49" s="4">
        <v>4</v>
      </c>
      <c r="AD49" s="4">
        <v>4</v>
      </c>
      <c r="AE49" s="4">
        <v>2</v>
      </c>
      <c r="AF49" s="4" t="s">
        <v>9</v>
      </c>
      <c r="AG49" s="26">
        <f>((ABS(AD49-5)^2)+(ABS(AE49-6)^2))^(1/2)</f>
        <v>4.1231056256176606</v>
      </c>
    </row>
    <row r="50" spans="29:33" ht="15.75" customHeight="1" x14ac:dyDescent="0.35">
      <c r="AC50" s="4">
        <v>9</v>
      </c>
      <c r="AD50" s="4">
        <v>9</v>
      </c>
      <c r="AE50" s="4">
        <v>5</v>
      </c>
      <c r="AF50" s="4" t="s">
        <v>9</v>
      </c>
      <c r="AG50" s="26">
        <f>((ABS(AD50-5)^2)+(ABS(AE50-6)^2))^(1/2)</f>
        <v>4.1231056256176606</v>
      </c>
    </row>
    <row r="51" spans="29:33" ht="15.75" customHeight="1" x14ac:dyDescent="0.35">
      <c r="AC51" s="4">
        <v>18</v>
      </c>
      <c r="AD51" s="4">
        <v>8</v>
      </c>
      <c r="AE51" s="4">
        <v>9</v>
      </c>
      <c r="AF51" s="4" t="s">
        <v>7</v>
      </c>
      <c r="AG51" s="26">
        <f>((ABS(AD51-5)^2)+(ABS(AE51-6)^2))^(1/2)</f>
        <v>4.2426406871192848</v>
      </c>
    </row>
    <row r="52" spans="29:33" ht="15.75" customHeight="1" x14ac:dyDescent="0.35">
      <c r="AC52" s="4">
        <v>3</v>
      </c>
      <c r="AD52" s="4">
        <v>3</v>
      </c>
      <c r="AE52" s="4">
        <v>2</v>
      </c>
      <c r="AF52" s="4" t="s">
        <v>7</v>
      </c>
      <c r="AG52" s="26">
        <f>((ABS(AD52-5)^2)+(ABS(AE52-6)^2))^(1/2)</f>
        <v>4.4721359549995796</v>
      </c>
    </row>
    <row r="53" spans="29:33" ht="15.75" customHeight="1" x14ac:dyDescent="0.35">
      <c r="AC53" s="4">
        <v>10</v>
      </c>
      <c r="AD53" s="4">
        <v>10</v>
      </c>
      <c r="AE53" s="4">
        <v>5</v>
      </c>
      <c r="AF53" s="4" t="s">
        <v>7</v>
      </c>
      <c r="AG53" s="26">
        <f>((ABS(AD53-5)^2)+(ABS(AE53-6)^2))^(1/2)</f>
        <v>5.0990195135927845</v>
      </c>
    </row>
    <row r="54" spans="29:33" ht="15.75" customHeight="1" x14ac:dyDescent="0.35">
      <c r="AC54" s="4">
        <v>19</v>
      </c>
      <c r="AD54" s="4">
        <v>9</v>
      </c>
      <c r="AE54" s="4">
        <v>10</v>
      </c>
      <c r="AF54" s="4" t="s">
        <v>9</v>
      </c>
      <c r="AG54" s="26">
        <f>((ABS(AD54-5)^2)+(ABS(AE54-6)^2))^(1/2)</f>
        <v>5.6568542494923806</v>
      </c>
    </row>
    <row r="55" spans="29:33" ht="15.75" customHeight="1" x14ac:dyDescent="0.35">
      <c r="AC55" s="4">
        <v>2</v>
      </c>
      <c r="AD55" s="4">
        <v>2</v>
      </c>
      <c r="AE55" s="4">
        <v>1</v>
      </c>
      <c r="AF55" s="4" t="s">
        <v>7</v>
      </c>
      <c r="AG55" s="26">
        <f>((ABS(AD55-5)^2)+(ABS(AE55-6)^2))^(1/2)</f>
        <v>5.8309518948453007</v>
      </c>
    </row>
    <row r="56" spans="29:33" ht="15.75" customHeight="1" x14ac:dyDescent="0.35">
      <c r="AC56" s="4">
        <v>1</v>
      </c>
      <c r="AD56" s="4">
        <v>1</v>
      </c>
      <c r="AE56" s="4">
        <v>1</v>
      </c>
      <c r="AF56" s="4" t="s">
        <v>7</v>
      </c>
      <c r="AG56" s="26">
        <f>((ABS(AD56-5)^2)+(ABS(AE56-6)^2))^(1/2)</f>
        <v>6.4031242374328485</v>
      </c>
    </row>
    <row r="57" spans="29:33" ht="15.75" customHeight="1" x14ac:dyDescent="0.35">
      <c r="AC57" s="4">
        <v>20</v>
      </c>
      <c r="AD57" s="4">
        <v>10</v>
      </c>
      <c r="AE57" s="4">
        <v>10</v>
      </c>
      <c r="AF57" s="4" t="s">
        <v>7</v>
      </c>
      <c r="AG57" s="26">
        <f>((ABS(AD57-5)^2)+(ABS(AE57-6)^2))^(1/2)</f>
        <v>6.4031242374328485</v>
      </c>
    </row>
    <row r="58" spans="29:33" ht="15.75" customHeight="1" x14ac:dyDescent="0.35"/>
    <row r="59" spans="29:33" ht="15.75" customHeight="1" x14ac:dyDescent="0.35"/>
    <row r="60" spans="29:33" ht="15.75" customHeight="1" x14ac:dyDescent="0.35"/>
    <row r="61" spans="29:33" ht="15.75" customHeight="1" x14ac:dyDescent="0.35"/>
    <row r="62" spans="29:33" ht="15.75" customHeight="1" x14ac:dyDescent="0.35"/>
    <row r="63" spans="29:33" ht="15.75" customHeight="1" x14ac:dyDescent="0.35"/>
    <row r="64" spans="29:33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6">
    <mergeCell ref="P7:S8"/>
    <mergeCell ref="H9:I9"/>
    <mergeCell ref="AC9:AF9"/>
    <mergeCell ref="H10:N11"/>
    <mergeCell ref="V21:AA23"/>
    <mergeCell ref="AC34:AF35"/>
  </mergeCell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Sheet1 (2)</vt:lpstr>
      <vt:lpstr>Sheet1 (3)</vt:lpstr>
      <vt:lpstr>Sheet1 (4)</vt:lpstr>
      <vt:lpstr>Sheet1 (5)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Sofyan Didik Asmara</cp:lastModifiedBy>
  <cp:lastPrinted>2026-04-16T20:07:51Z</cp:lastPrinted>
  <dcterms:created xsi:type="dcterms:W3CDTF">2025-03-25T06:11:06Z</dcterms:created>
  <dcterms:modified xsi:type="dcterms:W3CDTF">2026-04-16T20:11:50Z</dcterms:modified>
</cp:coreProperties>
</file>